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test Prices" sheetId="1" r:id="rId1"/>
  </sheets>
  <definedNames>
    <definedName name="ApiKey">'Latest Prices'!$B$5</definedName>
    <definedName name="ApiBaseUrl">'Latest Prices'!$J$3</definedName>
    <definedName name="WorkbookEndpoint">'Latest Prices'!$J$4</definedName>
  </definedNames>
  <calcPr calcMode="auto" fullCalcOnLoad="1" forceFullCalc="1"/>
</workbook>
</file>

<file path=xl/styles.xml><?xml version="1.0" encoding="utf-8"?>
<styleSheet xmlns="http://schemas.openxmlformats.org/spreadsheetml/2006/main">
  <fonts count="6">
    <font>
      <sz val="11"/>
      <color rgb="FF1F2933"/>
      <name val="Aptos"/>
    </font>
    <font>
      <sz val="24"/>
      <color rgb="FF111111"/>
      <name val="Georgia"/>
    </font>
    <font>
      <sz val="9"/>
      <color rgb="FF7A746A"/>
      <name val="Aptos"/>
    </font>
    <font>
      <b/>
      <sz val="10"/>
      <color rgb="FF4A4036"/>
      <name val="Aptos"/>
    </font>
    <font>
      <sz val="18"/>
      <color rgb="FF111111"/>
      <name val="Georgia"/>
    </font>
    <font>
      <sz val="9"/>
      <color rgb="FF6B6258"/>
      <name val="Aptos"/>
    </font>
  </fonts>
  <fills count="4">
    <fill>
      <patternFill patternType="none"/>
    </fill>
    <fill>
      <patternFill patternType="gray125"/>
    </fill>
    <fill>
      <patternFill patternType="solid">
        <fgColor rgb="FFFFF3C4"/>
        <bgColor indexed="64"/>
      </patternFill>
    </fill>
    <fill>
      <patternFill patternType="solid">
        <fgColor rgb="FFFAF8F1"/>
        <bgColor indexed="64"/>
      </patternFill>
    </fill>
  </fills>
  <borders count="3">
    <border/>
    <border>
      <bottom style="thin">
        <color rgb="FFBDB6A8"/>
      </bottom>
    </border>
    <border>
      <left style="thin">
        <color rgb="FFE1D8C8"/>
      </left>
      <right style="thin">
        <color rgb="FFE1D8C8"/>
      </right>
      <top style="thin">
        <color rgb="FFE1D8C8"/>
      </top>
      <bottom style="thin">
        <color rgb="FFE1D8C8"/>
      </bottom>
    </border>
  </borders>
  <cellStyleXfs count="1">
    <xf numFmtId="0" fontId="0" fillId="0" borderId="0"/>
  </cellStyleXfs>
  <cellXfs count="11">
    <xf numFmtId="0" fontId="0" fillId="0" borderId="0" xfId="0">
      <alignment vertical="top"/>
    </xf>
    <xf numFmtId="0" fontId="1" fillId="0" borderId="0" xfId="0" applyFont="1">
      <alignment vertical="top"/>
    </xf>
    <xf numFmtId="0" fontId="2" fillId="0" borderId="0" xfId="0" applyFont="1">
      <alignment vertical="top"/>
    </xf>
    <xf numFmtId="0" fontId="2" fillId="0" borderId="0" xfId="0" applyFont="1">
      <alignment wrapText="1" vertical="top"/>
    </xf>
    <xf numFmtId="0" fontId="3" fillId="0" borderId="0" xfId="0" applyFont="1">
      <alignment vertical="top"/>
    </xf>
    <xf numFmtId="0" fontId="0" fillId="2" borderId="2" xfId="0" applyFill="1" applyBorder="1">
      <alignment vertical="center"/>
    </xf>
    <xf numFmtId="0" fontId="0" fillId="3" borderId="1" xfId="0" applyFill="1" applyBorder="1">
      <alignment wrapText="1" vertical="center"/>
    </xf>
    <xf numFmtId="0" fontId="3" fillId="0" borderId="1" xfId="0" applyFont="1" applyBorder="1">
      <alignment vertical="bottom"/>
    </xf>
    <xf numFmtId="0" fontId="4" fillId="0" borderId="0" xfId="0" applyFont="1">
      <alignment vertical="center"/>
    </xf>
    <xf numFmtId="0" fontId="5" fillId="0" borderId="0" xfId="0" applyFont="1">
      <alignment wrapText="1" vertical="top"/>
    </xf>
    <xf numFmtId="0" fontId="0" fillId="0" borderId="0" xfId="0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 tabSelected="1">
      <selection activeCell="B5" sqref="B5"/>
    </sheetView>
  </sheetViews>
  <sheetFormatPr defaultRowHeight="18"/>
  <cols>
    <col min="1" max="1" width="20" customWidth="1"/>
    <col min="2" max="2" width="30" customWidth="1"/>
    <col min="3" max="3" width="14" customWidth="1"/>
    <col min="4" max="4" width="24" customWidth="1"/>
    <col min="5" max="5" width="28" customWidth="1"/>
    <col min="6" max="6" width="16" customWidth="1"/>
    <col min="7" max="7" width="4" customWidth="1" hidden="1"/>
    <col min="8" max="8" width="4" customWidth="1" hidden="1"/>
    <col min="9" max="9" width="4" customWidth="1" hidden="1"/>
    <col min="10" max="10" width="58" customWidth="1" hidden="1"/>
  </cols>
  <sheetData>
    <row r="1" ht="24" customHeight="1">
      <c r="A1" s="2" t="inlineStr">
        <is>
          <t>OilPriceAPI</t>
        </is>
      </c>
    </row>
    <row r="2" ht="40" customHeight="1">
      <c r="A2" s="1" t="inlineStr">
        <is>
          <t>Latest oil prices</t>
        </is>
      </c>
      <c r="J2" s="0" t="str">
        <f>IF($B$5="","",WEBSERVICE($J$3&amp;$J$4&amp;"?api_key="&amp;$B$5&amp;"&amp;codes="&amp;$J$5))</f>
        <v/>
      </c>
    </row>
    <row r="3" ht="24" customHeight="1">
      <c r="A3" s="3" t="inlineStr">
        <is>
          <t>Paste your key once. Press Enter. WTI and Brent appear below.</t>
        </is>
      </c>
      <c r="J3" s="0" t="inlineStr">
        <is>
          <t>https://api.oilpriceapi.com</t>
        </is>
      </c>
    </row>
    <row r="4" ht="8" customHeight="1">
      <c r="J4" s="0" t="inlineStr">
        <is>
          <t>/v1/prices/excel-latest.xml</t>
        </is>
      </c>
    </row>
    <row r="5" ht="30" customHeight="1">
      <c r="A5" s="4" t="inlineStr">
        <is>
          <t>API key</t>
        </is>
      </c>
      <c r="B5" s="5"/>
      <c r="C5" s="3" t="inlineStr">
        <is>
          <t>Paste key here and press Enter</t>
        </is>
      </c>
      <c r="J5" s="0" t="inlineStr">
        <is>
          <t>WTI_USD,BRENT_CRUDE_USD</t>
        </is>
      </c>
    </row>
    <row r="6" ht="28" customHeight="1">
      <c r="A6" s="4" t="inlineStr">
        <is>
          <t>Status</t>
        </is>
      </c>
      <c r="B6" s="6" t="str">
        <f>IF($B$5="","Waiting for API key",IFERROR(IF(FILTERXML($J$2,"/oilpriceapi/status")="auth_failed","API key was not accepted. Check the key cell and try again.",FILTERXML($J$2,"/oilpriceapi/message")),"Excel formula fetch did not return data. Use oilpriceapi.com/excel for instant download."))</f>
        <v>Waiting for API key</v>
      </c>
    </row>
    <row r="7" ht="24" customHeight="1">
      <c r="A7" s="4" t="inlineStr">
        <is>
          <t>Retrieved</t>
        </is>
      </c>
      <c r="B7" s="3" t="str">
        <f>IF($B$5="","",IFERROR(FILTERXML($J$2,"/oilpriceapi/retrieved_at"),""))</f>
        <v/>
      </c>
    </row>
    <row r="8" ht="12" customHeight="1"/>
    <row r="9" ht="24" customHeight="1">
      <c r="A9" s="7" t="inlineStr">
        <is>
          <t>Benchmark</t>
        </is>
      </c>
      <c r="B9" s="7" t="inlineStr">
        <is>
          <t>Price</t>
        </is>
      </c>
      <c r="C9" s="7" t="inlineStr">
        <is>
          <t>Currency</t>
        </is>
      </c>
      <c r="D9" s="7" t="inlineStr">
        <is>
          <t>Source</t>
        </is>
      </c>
      <c r="E9" s="7" t="inlineStr">
        <is>
          <t>Timestamp</t>
        </is>
      </c>
      <c r="F9" s="7" t="inlineStr">
        <is>
          <t>Status</t>
        </is>
      </c>
    </row>
    <row r="10" ht="34" customHeight="1">
      <c r="A10" s="0" t="inlineStr">
        <is>
          <t>WTI crude</t>
        </is>
      </c>
      <c r="B10" s="8" t="str">
        <f>IF($J$2="","",IFERROR(FILTERXML($J$2,"/oilpriceapi/prices/price[1]/formatted"),""))</f>
        <v/>
      </c>
      <c r="C10" s="0" t="str">
        <f>IF($J$2="","",IFERROR(FILTERXML($J$2,"/oilpriceapi/prices/price[1]/currency"),""))</f>
        <v/>
      </c>
      <c r="D10" s="0" t="str">
        <f>IF($J$2="","",IFERROR(FILTERXML($J$2,"/oilpriceapi/prices/price[1]/source"),""))</f>
        <v/>
      </c>
      <c r="E10" s="3" t="str">
        <f>IF($J$2="","",IFERROR(FILTERXML($J$2,"/oilpriceapi/prices/price[1]/timestamp"),""))</f>
        <v/>
      </c>
      <c r="F10" s="0" t="str">
        <f>IF($J$2="","",IFERROR(FILTERXML($J$2,"/oilpriceapi/prices/price[1]/status"),""))</f>
        <v/>
      </c>
    </row>
    <row r="11" ht="34" customHeight="1">
      <c r="A11" s="0" t="inlineStr">
        <is>
          <t>Brent crude</t>
        </is>
      </c>
      <c r="B11" s="8" t="str">
        <f>IF($J$2="","",IFERROR(FILTERXML($J$2,"/oilpriceapi/prices/price[2]/formatted"),""))</f>
        <v/>
      </c>
      <c r="C11" s="0" t="str">
        <f>IF($J$2="","",IFERROR(FILTERXML($J$2,"/oilpriceapi/prices/price[2]/currency"),""))</f>
        <v/>
      </c>
      <c r="D11" s="0" t="str">
        <f>IF($J$2="","",IFERROR(FILTERXML($J$2,"/oilpriceapi/prices/price[2]/source"),""))</f>
        <v/>
      </c>
      <c r="E11" s="3" t="str">
        <f>IF($J$2="","",IFERROR(FILTERXML($J$2,"/oilpriceapi/prices/price[2]/timestamp"),""))</f>
        <v/>
      </c>
      <c r="F11" s="0" t="str">
        <f>IF($J$2="","",IFERROR(FILTERXML($J$2,"/oilpriceapi/prices/price[2]/status"),""))</f>
        <v/>
      </c>
    </row>
    <row r="12" ht="18" customHeight="1"/>
    <row r="13" ht="36" customHeight="1">
      <c r="A13" s="4" t="inlineStr">
        <is>
          <t>If it does not load</t>
        </is>
      </c>
      <c r="B13" s="9" t="inlineStr">
        <is>
          <t>Use the instant Excel download at oilpriceapi.com/excel if workbook formulas are blocked.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OilPriceAPI starter workbook generator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OilPriceAPI Excel Starter Workbook</dc:title>
  <dc:creator>OilPriceAPI</dc:creator>
  <cp:lastModifiedBy>OilPriceAPI</cp:lastModifiedBy>
  <dcterms:created xsi:type="dcterms:W3CDTF">2026-05-11T00:00:00Z</dcterms:created>
  <dcterms:modified xsi:type="dcterms:W3CDTF">2026-05-11T00:00:00Z</dcterms:modified>
</cp:coreProperties>
</file>