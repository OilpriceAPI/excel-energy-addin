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tart Here" sheetId="1" r:id="rId1"/>
    <sheet name="Settings" sheetId="2" r:id="rId2"/>
    <sheet name="Latest Prices" sheetId="3" r:id="rId3"/>
    <sheet name="Examples" sheetId="4" r:id="rId4"/>
  </sheets>
  <definedNames>
    <definedName name="ApiKey">'Settings'!$B$2</definedName>
    <definedName name="ApiBaseUrl">'Settings'!$B$3</definedName>
    <definedName name="WorkbookEndpoint">'Settings'!$B$4</definedName>
  </definedNames>
  <calcPr calcMode="auto" fullCalcOnLoad="1" forceFullCalc="1"/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
  <Relationship Id="rId5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6" customWidth="1"/>
    <col min="2" max="2" width="88" customWidth="1"/>
  </cols>
  <sheetData>
    <row r="1">
      <c r="A1" t="inlineStr">
        <is>
          <t>OilPriceAPI Excel Starter Workbook</t>
        </is>
      </c>
    </row>
    <row r="2">
      <c r="A2" t="inlineStr">
        <is>
          <t>Step</t>
        </is>
      </c>
      <c r="B2" t="inlineStr">
        <is>
          <t>What to do</t>
        </is>
      </c>
    </row>
    <row r="3">
      <c r="A3" t="inlineStr">
        <is>
          <t>1</t>
        </is>
      </c>
      <c r="B3" t="inlineStr">
        <is>
          <t>Paste your OilPriceAPI key into Settings cell B2.</t>
        </is>
      </c>
    </row>
    <row r="4">
      <c r="A4" t="inlineStr">
        <is>
          <t>2</t>
        </is>
      </c>
      <c r="B4" t="inlineStr">
        <is>
          <t>Go to Latest Prices. WTI and Brent should populate automatically.</t>
        </is>
      </c>
    </row>
    <row r="5">
      <c r="A5" t="inlineStr">
        <is>
          <t>3</t>
        </is>
      </c>
      <c r="B5" t="inlineStr">
        <is>
          <t>If Excel does not refresh immediately, use Formulas &gt; Calculate Now or Data &gt; Refresh All.</t>
        </is>
      </c>
    </row>
    <row r="6"/>
    <row r="7">
      <c r="A7" t="inlineStr">
        <is>
          <t>Compatibility</t>
        </is>
      </c>
      <c r="B7" t="inlineStr">
        <is>
          <t>Formula refresh uses WEBSERVICE and FILTERXML, which are intended for Windows desktop Excel. Use this starter on Excel for Windows, not Excel for Mac or Excel for the web.</t>
        </is>
      </c>
    </row>
    <row r="8">
      <c r="A8" t="inlineStr">
        <is>
          <t>No XML or manifest setup</t>
        </is>
      </c>
      <c r="B8" t="inlineStr">
        <is>
          <t>Do not use Developer tools, XML Expansion Packs, sideloading, or macros for this workbook.</t>
        </is>
      </c>
    </row>
    <row r="9">
      <c r="A9" t="inlineStr">
        <is>
          <t>Status</t>
        </is>
      </c>
      <c r="B9" t="inlineStr">
        <is>
          <t>This workbook is valid .xlsx structure, contains no embedded API key, and uses native Excel formulas.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22" customWidth="1"/>
    <col min="2" max="2" width="34" customWidth="1"/>
    <col min="3" max="3" width="82" customWidth="1"/>
  </cols>
  <sheetData>
    <row r="1">
      <c r="A1" t="inlineStr">
        <is>
          <t>Setting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API key</t>
        </is>
      </c>
      <c r="C2" t="inlineStr">
        <is>
          <t>Paste your own OilPriceAPI key here. The distributed workbook intentionally ships blank.</t>
        </is>
      </c>
    </row>
    <row r="3">
      <c r="A3" t="inlineStr">
        <is>
          <t>Base URL</t>
        </is>
      </c>
      <c r="B3" t="inlineStr">
        <is>
          <t>https://api.oilpriceapi.com</t>
        </is>
      </c>
      <c r="C3" t="inlineStr">
        <is>
          <t>Editable if the API base changes.</t>
        </is>
      </c>
    </row>
    <row r="4">
      <c r="A4" t="inlineStr">
        <is>
          <t>Workbook endpoint</t>
        </is>
      </c>
      <c r="B4" t="inlineStr">
        <is>
          <t>/v1/prices/excel-latest.xml</t>
        </is>
      </c>
      <c r="C4" t="inlineStr">
        <is>
          <t>Used by native Excel formulas on the Latest Prices sheet.</t>
        </is>
      </c>
    </row>
    <row r="5">
      <c r="A5" t="inlineStr">
        <is>
          <t>Included benchmarks</t>
        </is>
      </c>
      <c r="B5" t="inlineStr">
        <is>
          <t>WTI_USD,BRENT_CRUDE_USD</t>
        </is>
      </c>
      <c r="C5" t="inlineStr">
        <is>
          <t>Starter workbook scope for first value.</t>
        </is>
      </c>
    </row>
  </sheetData>
</worksheet>
</file>

<file path=xl/worksheets/sheet3.xml><?xml version="1.0" encoding="utf-8"?>
<worksheet xmlns="http://schemas.openxmlformats.org/spreadsheetml/2006/main">
  <sheetViews>
    <sheetView workbookViewId="0"/>
  </sheetViews>
  <cols>
    <col min="1" max="1" width="22" customWidth="1"/>
    <col min="2" max="2" width="22" customWidth="1"/>
    <col min="3" max="3" width="14" customWidth="1"/>
    <col min="4" max="4" width="16" customWidth="1"/>
    <col min="5" max="5" width="12" customWidth="1"/>
    <col min="6" max="6" width="14" customWidth="1"/>
    <col min="7" max="7" width="28" customWidth="1"/>
    <col min="8" max="8" width="28" customWidth="1"/>
    <col min="9" max="9" width="16" customWidth="1"/>
    <col min="10" max="10" width="18" customWidth="1" hidden="1"/>
  </cols>
  <sheetData>
    <row r="1">
      <c r="A1" t="inlineStr">
        <is>
          <t>OilPriceAPI latest prices</t>
        </is>
      </c>
    </row>
    <row r="2">
      <c r="A2" t="inlineStr">
        <is>
          <t>Workbook status</t>
        </is>
      </c>
      <c r="B2" t="str">
        <f>IF(Settings!$B$2="","Missing API key - paste your OilPriceAPI key into Settings!B2.",IFERROR(FILTERXML($J$10,"/oilpriceapi/message"),"Refresh error - check API key and network."))</f>
        <v/>
      </c>
    </row>
    <row r="3">
      <c r="A3" t="inlineStr">
        <is>
          <t>Retrieved at</t>
        </is>
      </c>
      <c r="B3" t="str">
        <f>IF(Settings!$B$2="","",IFERROR(FILTERXML($J$10,"/oilpriceapi/retrieved_at"),""))</f>
        <v/>
      </c>
    </row>
    <row r="4"/>
    <row r="5">
      <c r="A5" t="inlineStr">
        <is>
          <t>Commodity</t>
        </is>
      </c>
      <c r="B5" t="inlineStr">
        <is>
          <t>API code</t>
        </is>
      </c>
      <c r="C5" t="inlineStr">
        <is>
          <t>Price</t>
        </is>
      </c>
      <c r="D5" t="inlineStr">
        <is>
          <t>Formatted</t>
        </is>
      </c>
      <c r="E5" t="inlineStr">
        <is>
          <t>Currency</t>
        </is>
      </c>
      <c r="F5" t="inlineStr">
        <is>
          <t>Unit</t>
        </is>
      </c>
      <c r="G5" t="inlineStr">
        <is>
          <t>Source</t>
        </is>
      </c>
      <c r="H5" t="inlineStr">
        <is>
          <t>Timestamp</t>
        </is>
      </c>
      <c r="I5" t="inlineStr">
        <is>
          <t>Status</t>
        </is>
      </c>
    </row>
    <row r="6">
      <c r="A6" t="inlineStr">
        <is>
          <t>WTI crude</t>
        </is>
      </c>
      <c r="B6" t="inlineStr">
        <is>
          <t>WTI_USD</t>
        </is>
      </c>
      <c r="C6" t="str">
        <f>IF($J$10="","",IFERROR(FILTERXML($J$10,"/oilpriceapi/prices/price[1]/value"),""))</f>
        <v/>
      </c>
      <c r="D6" t="str">
        <f>IF($J$10="","",IFERROR(FILTERXML($J$10,"/oilpriceapi/prices/price[1]/formatted"),""))</f>
        <v/>
      </c>
      <c r="E6" t="str">
        <f>IF($J$10="","",IFERROR(FILTERXML($J$10,"/oilpriceapi/prices/price[1]/currency"),""))</f>
        <v/>
      </c>
      <c r="F6" t="str">
        <f>IF($J$10="","",IFERROR(FILTERXML($J$10,"/oilpriceapi/prices/price[1]/unit"),""))</f>
        <v/>
      </c>
      <c r="G6" t="str">
        <f>IF($J$10="","",IFERROR(FILTERXML($J$10,"/oilpriceapi/prices/price[1]/source"),""))</f>
        <v/>
      </c>
      <c r="H6" t="str">
        <f>IF($J$10="","",IFERROR(FILTERXML($J$10,"/oilpriceapi/prices/price[1]/timestamp"),""))</f>
        <v/>
      </c>
      <c r="I6" t="str">
        <f>IF($J$10="","",IFERROR(FILTERXML($J$10,"/oilpriceapi/prices/price[1]/status"),""))</f>
        <v/>
      </c>
    </row>
    <row r="7">
      <c r="A7" t="inlineStr">
        <is>
          <t>Brent crude</t>
        </is>
      </c>
      <c r="B7" t="inlineStr">
        <is>
          <t>BRENT_CRUDE_USD</t>
        </is>
      </c>
      <c r="C7" t="str">
        <f>IF($J$10="","",IFERROR(FILTERXML($J$10,"/oilpriceapi/prices/price[2]/value"),""))</f>
        <v/>
      </c>
      <c r="D7" t="str">
        <f>IF($J$10="","",IFERROR(FILTERXML($J$10,"/oilpriceapi/prices/price[2]/formatted"),""))</f>
        <v/>
      </c>
      <c r="E7" t="str">
        <f>IF($J$10="","",IFERROR(FILTERXML($J$10,"/oilpriceapi/prices/price[2]/currency"),""))</f>
        <v/>
      </c>
      <c r="F7" t="str">
        <f>IF($J$10="","",IFERROR(FILTERXML($J$10,"/oilpriceapi/prices/price[2]/unit"),""))</f>
        <v/>
      </c>
      <c r="G7" t="str">
        <f>IF($J$10="","",IFERROR(FILTERXML($J$10,"/oilpriceapi/prices/price[2]/source"),""))</f>
        <v/>
      </c>
      <c r="H7" t="str">
        <f>IF($J$10="","",IFERROR(FILTERXML($J$10,"/oilpriceapi/prices/price[2]/timestamp"),""))</f>
        <v/>
      </c>
      <c r="I7" t="str">
        <f>IF($J$10="","",IFERROR(FILTERXML($J$10,"/oilpriceapi/prices/price[2]/status"),""))</f>
        <v/>
      </c>
    </row>
    <row r="8"/>
    <row r="9">
      <c r="A9" t="inlineStr">
        <is>
          <t>Visible error states</t>
        </is>
      </c>
      <c r="B9" t="inlineStr">
        <is>
          <t>Missing API key</t>
        </is>
      </c>
      <c r="C9" t="inlineStr">
        <is>
          <t>Authentication failure</t>
        </is>
      </c>
      <c r="D9" t="inlineStr">
        <is>
          <t>Quota or rate-limit failure</t>
        </is>
      </c>
      <c r="E9" t="inlineStr">
        <is>
          <t>No data or unexpected empty response</t>
        </is>
      </c>
    </row>
    <row r="10">
      <c r="A10" t="inlineStr">
        <is>
          <t>Raw response</t>
        </is>
      </c>
      <c r="J10" t="str">
        <f>IF(Settings!$B$2="","",WEBSERVICE(Settings!$B$3&amp;Settings!$B$4&amp;"?api_key="&amp;Settings!$B$2&amp;"&amp;codes="&amp;Settings!$B$5))</f>
        <v/>
      </c>
    </row>
  </sheetData>
</worksheet>
</file>

<file path=xl/worksheets/sheet4.xml><?xml version="1.0" encoding="utf-8"?>
<worksheet xmlns="http://schemas.openxmlformats.org/spreadsheetml/2006/main">
  <sheetViews>
    <sheetView workbookViewId="0"/>
  </sheetViews>
  <cols>
    <col min="1" max="1" width="34" customWidth="1"/>
    <col min="2" max="2" width="34" customWidth="1"/>
    <col min="3" max="3" width="78" customWidth="1"/>
  </cols>
  <sheetData>
    <row r="1">
      <c r="A1" t="inlineStr">
        <is>
          <t>Example</t>
        </is>
      </c>
      <c r="B1" t="inlineStr">
        <is>
          <t>Supported now?</t>
        </is>
      </c>
      <c r="C1" t="inlineStr">
        <is>
          <t>Notes</t>
        </is>
      </c>
    </row>
    <row r="2">
      <c r="A2" t="inlineStr">
        <is>
          <t>WTI latest price</t>
        </is>
      </c>
      <c r="B2" t="inlineStr">
        <is>
          <t>Yes</t>
        </is>
      </c>
      <c r="C2" t="inlineStr">
        <is>
          <t>Paste API key in Settings!B2 and read the WTI row on Latest Prices.</t>
        </is>
      </c>
    </row>
    <row r="3">
      <c r="A3" t="inlineStr">
        <is>
          <t>Brent latest price</t>
        </is>
      </c>
      <c r="B3" t="inlineStr">
        <is>
          <t>Yes</t>
        </is>
      </c>
      <c r="C3" t="inlineStr">
        <is>
          <t>Paste API key in Settings!B2 and read the Brent row on Latest Prices.</t>
        </is>
      </c>
    </row>
    <row r="4">
      <c r="A4" t="inlineStr">
        <is>
          <t>Natural gas latest price</t>
        </is>
      </c>
      <c r="B4" t="inlineStr">
        <is>
          <t>Pending endpoint confirmation</t>
        </is>
      </c>
      <c r="C4" t="inlineStr">
        <is>
          <t>Do not market until endpoint is confirmed.</t>
        </is>
      </c>
    </row>
    <row r="5">
      <c r="A5" t="inlineStr">
        <is>
          <t>Diesel / fuel surcharge</t>
        </is>
      </c>
      <c r="B5" t="inlineStr">
        <is>
          <t>Pending endpoint confirmation</t>
        </is>
      </c>
      <c r="C5" t="inlineStr">
        <is>
          <t>Do not market until endpoint is confirmed.</t>
        </is>
      </c>
    </row>
    <row r="6"/>
    <row r="7">
      <c r="A7" t="inlineStr">
        <is>
          <t>Error states required before website link</t>
        </is>
      </c>
    </row>
    <row r="8">
      <c r="A8" t="inlineStr">
        <is>
          <t>Missing API key</t>
        </is>
      </c>
    </row>
    <row r="9">
      <c r="A9" t="inlineStr">
        <is>
          <t>Authentication failure</t>
        </is>
      </c>
    </row>
    <row r="10">
      <c r="A10" t="inlineStr">
        <is>
          <t>Quota or rate-limit failure</t>
        </is>
      </c>
    </row>
    <row r="11">
      <c r="A11" t="inlineStr">
        <is>
          <t>No data or unexpected empty response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OilPriceAPI starter workbook generator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Settings</vt:lpstr>
      <vt:lpstr>Latest Prices</vt:lpstr>
      <vt:lpstr>Examples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OilPriceAPI Excel Starter Workbook</dc:title>
  <dc:creator>OilPriceAPI</dc:creator>
  <cp:lastModifiedBy>OilPriceAPI</cp:lastModifiedBy>
  <dcterms:created xsi:type="dcterms:W3CDTF">2026-05-11T00:00:00Z</dcterms:created>
  <dcterms:modified xsi:type="dcterms:W3CDTF">2026-05-11T00:00:00Z</dcterms:modified>
</cp:coreProperties>
</file>