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API Runner" sheetId="1" r:id="rId1"/>
  </sheets>
  <definedNames>
    <definedName name="ApiKey">'API Runner'!$B$5</definedName>
    <definedName name="ApiBaseUrl">'API Runner'!$N$3</definedName>
    <definedName name="EndpointPath">'API Runner'!$B$6</definedName>
    <definedName name="EndpointQuery">'API Runner'!$B$7</definedName>
  </definedNames>
  <calcPr calcMode="auto" fullCalcOnLoad="1" forceFullCalc="1"/>
</workbook>
</file>

<file path=xl/styles.xml><?xml version="1.0" encoding="utf-8"?>
<styleSheet xmlns="http://schemas.openxmlformats.org/spreadsheetml/2006/main">
  <fonts count="6">
    <font>
      <sz val="11"/>
      <color rgb="FF1F2933"/>
      <name val="Aptos"/>
    </font>
    <font>
      <sz val="24"/>
      <color rgb="FF111111"/>
      <name val="Georgia"/>
    </font>
    <font>
      <sz val="9"/>
      <color rgb="FF7A746A"/>
      <name val="Aptos"/>
    </font>
    <font>
      <b/>
      <sz val="10"/>
      <color rgb="FF4A4036"/>
      <name val="Aptos"/>
    </font>
    <font>
      <sz val="18"/>
      <color rgb="FF111111"/>
      <name val="Georgia"/>
    </font>
    <font>
      <sz val="9"/>
      <color rgb="FF6B6258"/>
      <name val="Aptos"/>
    </font>
  </fonts>
  <fills count="4">
    <fill>
      <patternFill patternType="none"/>
    </fill>
    <fill>
      <patternFill patternType="gray125"/>
    </fill>
    <fill>
      <patternFill patternType="solid">
        <fgColor rgb="FFFFF3C4"/>
        <bgColor indexed="64"/>
      </patternFill>
    </fill>
    <fill>
      <patternFill patternType="solid">
        <fgColor rgb="FFFAF8F1"/>
        <bgColor indexed="64"/>
      </patternFill>
    </fill>
  </fills>
  <borders count="3">
    <border/>
    <border>
      <bottom style="thin">
        <color rgb="FFBDB6A8"/>
      </bottom>
    </border>
    <border>
      <left style="thin">
        <color rgb="FFE1D8C8"/>
      </left>
      <right style="thin">
        <color rgb="FFE1D8C8"/>
      </right>
      <top style="thin">
        <color rgb="FFE1D8C8"/>
      </top>
      <bottom style="thin">
        <color rgb="FFE1D8C8"/>
      </bottom>
    </border>
  </borders>
  <cellStyleXfs count="1">
    <xf numFmtId="0" fontId="0" fillId="0" borderId="0"/>
  </cellStyleXfs>
  <cellXfs count="11">
    <xf numFmtId="0" fontId="0" fillId="0" borderId="0" xfId="0">
      <alignment vertical="top"/>
    </xf>
    <xf numFmtId="0" fontId="1" fillId="0" borderId="0" xfId="0" applyFont="1">
      <alignment vertical="top"/>
    </xf>
    <xf numFmtId="0" fontId="2" fillId="0" borderId="0" xfId="0" applyFont="1">
      <alignment vertical="top"/>
    </xf>
    <xf numFmtId="0" fontId="2" fillId="0" borderId="0" xfId="0" applyFont="1">
      <alignment wrapText="1" vertical="top"/>
    </xf>
    <xf numFmtId="0" fontId="3" fillId="0" borderId="0" xfId="0" applyFont="1">
      <alignment vertical="top"/>
    </xf>
    <xf numFmtId="0" fontId="0" fillId="2" borderId="2" xfId="0" applyFill="1" applyBorder="1">
      <alignment vertical="center"/>
    </xf>
    <xf numFmtId="0" fontId="0" fillId="3" borderId="1" xfId="0" applyFill="1" applyBorder="1">
      <alignment wrapText="1" vertical="center"/>
    </xf>
    <xf numFmtId="0" fontId="3" fillId="0" borderId="1" xfId="0" applyFont="1" applyBorder="1">
      <alignment vertical="bottom"/>
    </xf>
    <xf numFmtId="0" fontId="4" fillId="0" borderId="0" xfId="0" applyFont="1">
      <alignment vertical="center"/>
    </xf>
    <xf numFmtId="0" fontId="5" fillId="0" borderId="0" xfId="0" applyFont="1">
      <alignment wrapText="1" vertical="top"/>
    </xf>
    <xf numFmtId="0" fontId="0" fillId="0" borderId="0" xfId="0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 showGridLines="0" tabSelected="1">
      <selection activeCell="B5" sqref="B5"/>
    </sheetView>
  </sheetViews>
  <sheetFormatPr defaultRowHeight="18"/>
  <cols>
    <col min="1" max="1" width="18" customWidth="1"/>
    <col min="2" max="2" width="34" customWidth="1"/>
    <col min="3" max="3" width="28" customWidth="1"/>
    <col min="4" max="4" width="22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  <col min="13" max="13" width="4" customWidth="1" hidden="1"/>
    <col min="14" max="14" width="72" customWidth="1" hidden="1"/>
  </cols>
  <sheetData>
    <row r="1" ht="24" customHeight="1">
      <c r="A1" s="2" t="inlineStr">
        <is>
          <t>OilPriceAPI</t>
        </is>
      </c>
    </row>
    <row r="2" ht="40" customHeight="1">
      <c r="A2" s="1" t="inlineStr">
        <is>
          <t>API Runner Workbook</t>
        </is>
      </c>
      <c r="N2" s="0" t="str">
        <f>IF($B$5="","",WEBSERVICE($N$3&amp;"/v1/excel/run.xml?api_key="&amp;$B$5&amp;"&amp;path="&amp;$B$6&amp;IF($B$7="","","&amp;"&amp;$B$7)))</f>
        <v/>
      </c>
    </row>
    <row r="3" ht="24" customHeight="1">
      <c r="A3" s="3" t="inlineStr">
        <is>
          <t>Paste a key, edit the endpoint, then press Enter or Calculate Now.</t>
        </is>
      </c>
      <c r="N3" s="0" t="inlineStr">
        <is>
          <t>https://api.oilpriceapi.com</t>
        </is>
      </c>
    </row>
    <row r="4" ht="10" customHeight="1"/>
    <row r="5" ht="28" customHeight="1">
      <c r="A5" s="4" t="inlineStr">
        <is>
          <t>API key in use</t>
        </is>
      </c>
      <c r="B5" s="5"/>
      <c r="C5" s="3" t="inlineStr">
        <is>
          <t>Visible so you can switch test, staging, or production keys.</t>
        </is>
      </c>
    </row>
    <row r="6" ht="28" customHeight="1">
      <c r="A6" s="4" t="inlineStr">
        <is>
          <t>Endpoint path</t>
        </is>
      </c>
      <c r="B6" s="5" t="inlineStr">
        <is>
          <t>/v1/prices/latest</t>
        </is>
      </c>
      <c r="C6" s="3" t="inlineStr">
        <is>
          <t>Edit this to a supported GET data endpoint.</t>
        </is>
      </c>
    </row>
    <row r="7" ht="28" customHeight="1">
      <c r="A7" s="4" t="inlineStr">
        <is>
          <t>Query string</t>
        </is>
      </c>
      <c r="B7" s="5" t="inlineStr">
        <is>
          <t>by_code=WTI_USD</t>
        </is>
      </c>
      <c r="C7" s="3" t="inlineStr">
        <is>
          <t>Use normal API params, for example by_code=BRENT_CRUDE_USD.</t>
        </is>
      </c>
    </row>
    <row r="8" ht="28" customHeight="1">
      <c r="A8" s="4" t="inlineStr">
        <is>
          <t>API request</t>
        </is>
      </c>
      <c r="B8" s="10" t="str">
        <f>IF($B$6="","",$N$3&amp;$B$6&amp;IF($B$7="","","?"&amp;$B$7))</f>
        <v/>
      </c>
      <c r="C8" s="3" t="inlineStr">
        <is>
          <t>This is the endpoint being looked up.</t>
        </is>
      </c>
    </row>
    <row r="9" ht="28" customHeight="1">
      <c r="A9" s="4" t="inlineStr">
        <is>
          <t>Status</t>
        </is>
      </c>
      <c r="B9" s="6" t="str">
        <f>IF($B$5="","Waiting for API key",IFERROR(FILTERXML($N$2,"/oilpriceapi/status")&amp;" - "&amp;FILTERXML($N$2,"/oilpriceapi/message"),"Excel did not return API data. Check external content permissions."))</f>
        <v>Waiting for API key</v>
      </c>
    </row>
    <row r="10" ht="24" customHeight="1">
      <c r="A10" s="4" t="inlineStr">
        <is>
          <t>Retrieved</t>
        </is>
      </c>
      <c r="B10" s="3" t="str">
        <f>IF($N$2="","",IFERROR(FILTERXML($N$2,"/oilpriceapi/retrieved_at"),""))</f>
        <v/>
      </c>
    </row>
    <row r="11" ht="24" customHeight="1">
      <c r="A11" s="4" t="inlineStr">
        <is>
          <t>Rows returned</t>
        </is>
      </c>
      <c r="B11" s="3" t="str">
        <f>IF($N$2="","",IFERROR(FILTERXML($N$2,"/oilpriceapi/returned_row_count")&amp;" of "&amp;FILTERXML($N$2,"/oilpriceapi/source_row_count"),""))</f>
        <v/>
      </c>
    </row>
    <row r="12" ht="14" customHeight="1"/>
    <row r="13" ht="24" customHeight="1">
      <c r="A13" s="7" t="inlineStr">
        <is>
          <t>Examples</t>
        </is>
      </c>
      <c r="B13" s="7" t="inlineStr">
        <is>
          <t>Path</t>
        </is>
      </c>
      <c r="C13" s="7" t="inlineStr">
        <is>
          <t>Query</t>
        </is>
      </c>
      <c r="D13" s="7" t="inlineStr">
        <is>
          <t>Use</t>
        </is>
      </c>
    </row>
    <row r="14" ht="24" customHeight="1">
      <c r="A14" s="0" t="inlineStr">
        <is>
          <t>Latest WTI</t>
        </is>
      </c>
      <c r="B14" s="10" t="inlineStr">
        <is>
          <t>/v1/prices/latest</t>
        </is>
      </c>
      <c r="C14" s="10" t="inlineStr">
        <is>
          <t>by_code=WTI_USD</t>
        </is>
      </c>
      <c r="D14" s="3" t="inlineStr">
        <is>
          <t>single latest price</t>
        </is>
      </c>
    </row>
    <row r="15" ht="24" customHeight="1">
      <c r="A15" s="0" t="inlineStr">
        <is>
          <t>Latest Brent</t>
        </is>
      </c>
      <c r="B15" s="10" t="inlineStr">
        <is>
          <t>/v1/prices/latest</t>
        </is>
      </c>
      <c r="C15" s="10" t="inlineStr">
        <is>
          <t>by_code=BRENT_CRUDE_USD</t>
        </is>
      </c>
      <c r="D15" s="3" t="inlineStr">
        <is>
          <t>single latest price</t>
        </is>
      </c>
    </row>
    <row r="16" ht="24" customHeight="1">
      <c r="A16" s="0" t="inlineStr">
        <is>
          <t>Price history</t>
        </is>
      </c>
      <c r="B16" s="10" t="inlineStr">
        <is>
          <t>/v1/prices/past_month</t>
        </is>
      </c>
      <c r="C16" s="10" t="inlineStr">
        <is>
          <t>by_code=WTI_USD&amp;interval=daily</t>
        </is>
      </c>
      <c r="D16" s="3" t="inlineStr">
        <is>
          <t>daily rows if included in your tier</t>
        </is>
      </c>
    </row>
    <row r="17" ht="24" customHeight="1">
      <c r="A17" s="0" t="inlineStr">
        <is>
          <t>Futures curve</t>
        </is>
      </c>
      <c r="B17" s="10" t="inlineStr">
        <is>
          <t>/v1/futures/ice-brent/curve</t>
        </is>
      </c>
      <c r="D17" s="3" t="inlineStr">
        <is>
          <t>curve rows if included in your tier</t>
        </is>
      </c>
    </row>
    <row r="18" ht="16" customHeight="1"/>
    <row r="19" ht="26" customHeight="1">
      <c r="A19" s="7" t="inlineStr">
        <is>
          <t>Results</t>
        </is>
      </c>
      <c r="B19" s="3" t="inlineStr">
        <is>
          <t>Change B6/B7 to look up a different endpoint.</t>
        </is>
      </c>
    </row>
    <row r="20" ht="24" customHeight="1">
      <c r="A20" s="7" t="str">
        <f>IF($N$2="","",IFERROR(FILTERXML($N$2,"/oilpriceapi/columns/col1"),""))</f>
        <v/>
      </c>
      <c r="B20" s="7" t="str">
        <f>IF($N$2="","",IFERROR(FILTERXML($N$2,"/oilpriceapi/columns/col2"),""))</f>
        <v/>
      </c>
      <c r="C20" s="7" t="str">
        <f>IF($N$2="","",IFERROR(FILTERXML($N$2,"/oilpriceapi/columns/col3"),""))</f>
        <v/>
      </c>
      <c r="D20" s="7" t="str">
        <f>IF($N$2="","",IFERROR(FILTERXML($N$2,"/oilpriceapi/columns/col4"),""))</f>
        <v/>
      </c>
      <c r="E20" s="7" t="str">
        <f>IF($N$2="","",IFERROR(FILTERXML($N$2,"/oilpriceapi/columns/col5"),""))</f>
        <v/>
      </c>
      <c r="F20" s="7" t="str">
        <f>IF($N$2="","",IFERROR(FILTERXML($N$2,"/oilpriceapi/columns/col6"),""))</f>
        <v/>
      </c>
      <c r="G20" s="7" t="str">
        <f>IF($N$2="","",IFERROR(FILTERXML($N$2,"/oilpriceapi/columns/col7"),""))</f>
        <v/>
      </c>
      <c r="H20" s="7" t="str">
        <f>IF($N$2="","",IFERROR(FILTERXML($N$2,"/oilpriceapi/columns/col8"),""))</f>
        <v/>
      </c>
      <c r="I20" s="7" t="str">
        <f>IF($N$2="","",IFERROR(FILTERXML($N$2,"/oilpriceapi/columns/col9"),""))</f>
        <v/>
      </c>
      <c r="J20" s="7" t="str">
        <f>IF($N$2="","",IFERROR(FILTERXML($N$2,"/oilpriceapi/columns/col10"),""))</f>
        <v/>
      </c>
      <c r="K20" s="7" t="str">
        <f>IF($N$2="","",IFERROR(FILTERXML($N$2,"/oilpriceapi/columns/col11"),""))</f>
        <v/>
      </c>
      <c r="L20" s="7" t="str">
        <f>IF($N$2="","",IFERROR(FILTERXML($N$2,"/oilpriceapi/columns/col12"),""))</f>
        <v/>
      </c>
    </row>
    <row r="21" ht="24" customHeight="1">
      <c r="A21" s="0" t="str">
        <f>IF($N$2="","",IFERROR(FILTERXML($N$2,"/oilpriceapi/rows/row[1]/col1"),""))</f>
        <v/>
      </c>
      <c r="B21" s="0" t="str">
        <f>IF($N$2="","",IFERROR(FILTERXML($N$2,"/oilpriceapi/rows/row[1]/col2"),""))</f>
        <v/>
      </c>
      <c r="C21" s="0" t="str">
        <f>IF($N$2="","",IFERROR(FILTERXML($N$2,"/oilpriceapi/rows/row[1]/col3"),""))</f>
        <v/>
      </c>
      <c r="D21" s="0" t="str">
        <f>IF($N$2="","",IFERROR(FILTERXML($N$2,"/oilpriceapi/rows/row[1]/col4"),""))</f>
        <v/>
      </c>
      <c r="E21" s="0" t="str">
        <f>IF($N$2="","",IFERROR(FILTERXML($N$2,"/oilpriceapi/rows/row[1]/col5"),""))</f>
        <v/>
      </c>
      <c r="F21" s="0" t="str">
        <f>IF($N$2="","",IFERROR(FILTERXML($N$2,"/oilpriceapi/rows/row[1]/col6"),""))</f>
        <v/>
      </c>
      <c r="G21" s="0" t="str">
        <f>IF($N$2="","",IFERROR(FILTERXML($N$2,"/oilpriceapi/rows/row[1]/col7"),""))</f>
        <v/>
      </c>
      <c r="H21" s="0" t="str">
        <f>IF($N$2="","",IFERROR(FILTERXML($N$2,"/oilpriceapi/rows/row[1]/col8"),""))</f>
        <v/>
      </c>
      <c r="I21" s="0" t="str">
        <f>IF($N$2="","",IFERROR(FILTERXML($N$2,"/oilpriceapi/rows/row[1]/col9"),""))</f>
        <v/>
      </c>
      <c r="J21" s="0" t="str">
        <f>IF($N$2="","",IFERROR(FILTERXML($N$2,"/oilpriceapi/rows/row[1]/col10"),""))</f>
        <v/>
      </c>
      <c r="K21" s="0" t="str">
        <f>IF($N$2="","",IFERROR(FILTERXML($N$2,"/oilpriceapi/rows/row[1]/col11"),""))</f>
        <v/>
      </c>
      <c r="L21" s="0" t="str">
        <f>IF($N$2="","",IFERROR(FILTERXML($N$2,"/oilpriceapi/rows/row[1]/col12"),""))</f>
        <v/>
      </c>
    </row>
    <row r="22" ht="24" customHeight="1">
      <c r="A22" s="0" t="str">
        <f>IF($N$2="","",IFERROR(FILTERXML($N$2,"/oilpriceapi/rows/row[2]/col1"),""))</f>
        <v/>
      </c>
      <c r="B22" s="0" t="str">
        <f>IF($N$2="","",IFERROR(FILTERXML($N$2,"/oilpriceapi/rows/row[2]/col2"),""))</f>
        <v/>
      </c>
      <c r="C22" s="0" t="str">
        <f>IF($N$2="","",IFERROR(FILTERXML($N$2,"/oilpriceapi/rows/row[2]/col3"),""))</f>
        <v/>
      </c>
      <c r="D22" s="0" t="str">
        <f>IF($N$2="","",IFERROR(FILTERXML($N$2,"/oilpriceapi/rows/row[2]/col4"),""))</f>
        <v/>
      </c>
      <c r="E22" s="0" t="str">
        <f>IF($N$2="","",IFERROR(FILTERXML($N$2,"/oilpriceapi/rows/row[2]/col5"),""))</f>
        <v/>
      </c>
      <c r="F22" s="0" t="str">
        <f>IF($N$2="","",IFERROR(FILTERXML($N$2,"/oilpriceapi/rows/row[2]/col6"),""))</f>
        <v/>
      </c>
      <c r="G22" s="0" t="str">
        <f>IF($N$2="","",IFERROR(FILTERXML($N$2,"/oilpriceapi/rows/row[2]/col7"),""))</f>
        <v/>
      </c>
      <c r="H22" s="0" t="str">
        <f>IF($N$2="","",IFERROR(FILTERXML($N$2,"/oilpriceapi/rows/row[2]/col8"),""))</f>
        <v/>
      </c>
      <c r="I22" s="0" t="str">
        <f>IF($N$2="","",IFERROR(FILTERXML($N$2,"/oilpriceapi/rows/row[2]/col9"),""))</f>
        <v/>
      </c>
      <c r="J22" s="0" t="str">
        <f>IF($N$2="","",IFERROR(FILTERXML($N$2,"/oilpriceapi/rows/row[2]/col10"),""))</f>
        <v/>
      </c>
      <c r="K22" s="0" t="str">
        <f>IF($N$2="","",IFERROR(FILTERXML($N$2,"/oilpriceapi/rows/row[2]/col11"),""))</f>
        <v/>
      </c>
      <c r="L22" s="0" t="str">
        <f>IF($N$2="","",IFERROR(FILTERXML($N$2,"/oilpriceapi/rows/row[2]/col12"),""))</f>
        <v/>
      </c>
    </row>
    <row r="23" ht="24" customHeight="1">
      <c r="A23" s="0" t="str">
        <f>IF($N$2="","",IFERROR(FILTERXML($N$2,"/oilpriceapi/rows/row[3]/col1"),""))</f>
        <v/>
      </c>
      <c r="B23" s="0" t="str">
        <f>IF($N$2="","",IFERROR(FILTERXML($N$2,"/oilpriceapi/rows/row[3]/col2"),""))</f>
        <v/>
      </c>
      <c r="C23" s="0" t="str">
        <f>IF($N$2="","",IFERROR(FILTERXML($N$2,"/oilpriceapi/rows/row[3]/col3"),""))</f>
        <v/>
      </c>
      <c r="D23" s="0" t="str">
        <f>IF($N$2="","",IFERROR(FILTERXML($N$2,"/oilpriceapi/rows/row[3]/col4"),""))</f>
        <v/>
      </c>
      <c r="E23" s="0" t="str">
        <f>IF($N$2="","",IFERROR(FILTERXML($N$2,"/oilpriceapi/rows/row[3]/col5"),""))</f>
        <v/>
      </c>
      <c r="F23" s="0" t="str">
        <f>IF($N$2="","",IFERROR(FILTERXML($N$2,"/oilpriceapi/rows/row[3]/col6"),""))</f>
        <v/>
      </c>
      <c r="G23" s="0" t="str">
        <f>IF($N$2="","",IFERROR(FILTERXML($N$2,"/oilpriceapi/rows/row[3]/col7"),""))</f>
        <v/>
      </c>
      <c r="H23" s="0" t="str">
        <f>IF($N$2="","",IFERROR(FILTERXML($N$2,"/oilpriceapi/rows/row[3]/col8"),""))</f>
        <v/>
      </c>
      <c r="I23" s="0" t="str">
        <f>IF($N$2="","",IFERROR(FILTERXML($N$2,"/oilpriceapi/rows/row[3]/col9"),""))</f>
        <v/>
      </c>
      <c r="J23" s="0" t="str">
        <f>IF($N$2="","",IFERROR(FILTERXML($N$2,"/oilpriceapi/rows/row[3]/col10"),""))</f>
        <v/>
      </c>
      <c r="K23" s="0" t="str">
        <f>IF($N$2="","",IFERROR(FILTERXML($N$2,"/oilpriceapi/rows/row[3]/col11"),""))</f>
        <v/>
      </c>
      <c r="L23" s="0" t="str">
        <f>IF($N$2="","",IFERROR(FILTERXML($N$2,"/oilpriceapi/rows/row[3]/col12"),""))</f>
        <v/>
      </c>
    </row>
    <row r="24" ht="24" customHeight="1">
      <c r="A24" s="0" t="str">
        <f>IF($N$2="","",IFERROR(FILTERXML($N$2,"/oilpriceapi/rows/row[4]/col1"),""))</f>
        <v/>
      </c>
      <c r="B24" s="0" t="str">
        <f>IF($N$2="","",IFERROR(FILTERXML($N$2,"/oilpriceapi/rows/row[4]/col2"),""))</f>
        <v/>
      </c>
      <c r="C24" s="0" t="str">
        <f>IF($N$2="","",IFERROR(FILTERXML($N$2,"/oilpriceapi/rows/row[4]/col3"),""))</f>
        <v/>
      </c>
      <c r="D24" s="0" t="str">
        <f>IF($N$2="","",IFERROR(FILTERXML($N$2,"/oilpriceapi/rows/row[4]/col4"),""))</f>
        <v/>
      </c>
      <c r="E24" s="0" t="str">
        <f>IF($N$2="","",IFERROR(FILTERXML($N$2,"/oilpriceapi/rows/row[4]/col5"),""))</f>
        <v/>
      </c>
      <c r="F24" s="0" t="str">
        <f>IF($N$2="","",IFERROR(FILTERXML($N$2,"/oilpriceapi/rows/row[4]/col6"),""))</f>
        <v/>
      </c>
      <c r="G24" s="0" t="str">
        <f>IF($N$2="","",IFERROR(FILTERXML($N$2,"/oilpriceapi/rows/row[4]/col7"),""))</f>
        <v/>
      </c>
      <c r="H24" s="0" t="str">
        <f>IF($N$2="","",IFERROR(FILTERXML($N$2,"/oilpriceapi/rows/row[4]/col8"),""))</f>
        <v/>
      </c>
      <c r="I24" s="0" t="str">
        <f>IF($N$2="","",IFERROR(FILTERXML($N$2,"/oilpriceapi/rows/row[4]/col9"),""))</f>
        <v/>
      </c>
      <c r="J24" s="0" t="str">
        <f>IF($N$2="","",IFERROR(FILTERXML($N$2,"/oilpriceapi/rows/row[4]/col10"),""))</f>
        <v/>
      </c>
      <c r="K24" s="0" t="str">
        <f>IF($N$2="","",IFERROR(FILTERXML($N$2,"/oilpriceapi/rows/row[4]/col11"),""))</f>
        <v/>
      </c>
      <c r="L24" s="0" t="str">
        <f>IF($N$2="","",IFERROR(FILTERXML($N$2,"/oilpriceapi/rows/row[4]/col12"),""))</f>
        <v/>
      </c>
    </row>
    <row r="25" ht="24" customHeight="1">
      <c r="A25" s="0" t="str">
        <f>IF($N$2="","",IFERROR(FILTERXML($N$2,"/oilpriceapi/rows/row[5]/col1"),""))</f>
        <v/>
      </c>
      <c r="B25" s="0" t="str">
        <f>IF($N$2="","",IFERROR(FILTERXML($N$2,"/oilpriceapi/rows/row[5]/col2"),""))</f>
        <v/>
      </c>
      <c r="C25" s="0" t="str">
        <f>IF($N$2="","",IFERROR(FILTERXML($N$2,"/oilpriceapi/rows/row[5]/col3"),""))</f>
        <v/>
      </c>
      <c r="D25" s="0" t="str">
        <f>IF($N$2="","",IFERROR(FILTERXML($N$2,"/oilpriceapi/rows/row[5]/col4"),""))</f>
        <v/>
      </c>
      <c r="E25" s="0" t="str">
        <f>IF($N$2="","",IFERROR(FILTERXML($N$2,"/oilpriceapi/rows/row[5]/col5"),""))</f>
        <v/>
      </c>
      <c r="F25" s="0" t="str">
        <f>IF($N$2="","",IFERROR(FILTERXML($N$2,"/oilpriceapi/rows/row[5]/col6"),""))</f>
        <v/>
      </c>
      <c r="G25" s="0" t="str">
        <f>IF($N$2="","",IFERROR(FILTERXML($N$2,"/oilpriceapi/rows/row[5]/col7"),""))</f>
        <v/>
      </c>
      <c r="H25" s="0" t="str">
        <f>IF($N$2="","",IFERROR(FILTERXML($N$2,"/oilpriceapi/rows/row[5]/col8"),""))</f>
        <v/>
      </c>
      <c r="I25" s="0" t="str">
        <f>IF($N$2="","",IFERROR(FILTERXML($N$2,"/oilpriceapi/rows/row[5]/col9"),""))</f>
        <v/>
      </c>
      <c r="J25" s="0" t="str">
        <f>IF($N$2="","",IFERROR(FILTERXML($N$2,"/oilpriceapi/rows/row[5]/col10"),""))</f>
        <v/>
      </c>
      <c r="K25" s="0" t="str">
        <f>IF($N$2="","",IFERROR(FILTERXML($N$2,"/oilpriceapi/rows/row[5]/col11"),""))</f>
        <v/>
      </c>
      <c r="L25" s="0" t="str">
        <f>IF($N$2="","",IFERROR(FILTERXML($N$2,"/oilpriceapi/rows/row[5]/col12"),""))</f>
        <v/>
      </c>
    </row>
    <row r="26" ht="24" customHeight="1">
      <c r="A26" s="0" t="str">
        <f>IF($N$2="","",IFERROR(FILTERXML($N$2,"/oilpriceapi/rows/row[6]/col1"),""))</f>
        <v/>
      </c>
      <c r="B26" s="0" t="str">
        <f>IF($N$2="","",IFERROR(FILTERXML($N$2,"/oilpriceapi/rows/row[6]/col2"),""))</f>
        <v/>
      </c>
      <c r="C26" s="0" t="str">
        <f>IF($N$2="","",IFERROR(FILTERXML($N$2,"/oilpriceapi/rows/row[6]/col3"),""))</f>
        <v/>
      </c>
      <c r="D26" s="0" t="str">
        <f>IF($N$2="","",IFERROR(FILTERXML($N$2,"/oilpriceapi/rows/row[6]/col4"),""))</f>
        <v/>
      </c>
      <c r="E26" s="0" t="str">
        <f>IF($N$2="","",IFERROR(FILTERXML($N$2,"/oilpriceapi/rows/row[6]/col5"),""))</f>
        <v/>
      </c>
      <c r="F26" s="0" t="str">
        <f>IF($N$2="","",IFERROR(FILTERXML($N$2,"/oilpriceapi/rows/row[6]/col6"),""))</f>
        <v/>
      </c>
      <c r="G26" s="0" t="str">
        <f>IF($N$2="","",IFERROR(FILTERXML($N$2,"/oilpriceapi/rows/row[6]/col7"),""))</f>
        <v/>
      </c>
      <c r="H26" s="0" t="str">
        <f>IF($N$2="","",IFERROR(FILTERXML($N$2,"/oilpriceapi/rows/row[6]/col8"),""))</f>
        <v/>
      </c>
      <c r="I26" s="0" t="str">
        <f>IF($N$2="","",IFERROR(FILTERXML($N$2,"/oilpriceapi/rows/row[6]/col9"),""))</f>
        <v/>
      </c>
      <c r="J26" s="0" t="str">
        <f>IF($N$2="","",IFERROR(FILTERXML($N$2,"/oilpriceapi/rows/row[6]/col10"),""))</f>
        <v/>
      </c>
      <c r="K26" s="0" t="str">
        <f>IF($N$2="","",IFERROR(FILTERXML($N$2,"/oilpriceapi/rows/row[6]/col11"),""))</f>
        <v/>
      </c>
      <c r="L26" s="0" t="str">
        <f>IF($N$2="","",IFERROR(FILTERXML($N$2,"/oilpriceapi/rows/row[6]/col12"),""))</f>
        <v/>
      </c>
    </row>
    <row r="27" ht="24" customHeight="1">
      <c r="A27" s="0" t="str">
        <f>IF($N$2="","",IFERROR(FILTERXML($N$2,"/oilpriceapi/rows/row[7]/col1"),""))</f>
        <v/>
      </c>
      <c r="B27" s="0" t="str">
        <f>IF($N$2="","",IFERROR(FILTERXML($N$2,"/oilpriceapi/rows/row[7]/col2"),""))</f>
        <v/>
      </c>
      <c r="C27" s="0" t="str">
        <f>IF($N$2="","",IFERROR(FILTERXML($N$2,"/oilpriceapi/rows/row[7]/col3"),""))</f>
        <v/>
      </c>
      <c r="D27" s="0" t="str">
        <f>IF($N$2="","",IFERROR(FILTERXML($N$2,"/oilpriceapi/rows/row[7]/col4"),""))</f>
        <v/>
      </c>
      <c r="E27" s="0" t="str">
        <f>IF($N$2="","",IFERROR(FILTERXML($N$2,"/oilpriceapi/rows/row[7]/col5"),""))</f>
        <v/>
      </c>
      <c r="F27" s="0" t="str">
        <f>IF($N$2="","",IFERROR(FILTERXML($N$2,"/oilpriceapi/rows/row[7]/col6"),""))</f>
        <v/>
      </c>
      <c r="G27" s="0" t="str">
        <f>IF($N$2="","",IFERROR(FILTERXML($N$2,"/oilpriceapi/rows/row[7]/col7"),""))</f>
        <v/>
      </c>
      <c r="H27" s="0" t="str">
        <f>IF($N$2="","",IFERROR(FILTERXML($N$2,"/oilpriceapi/rows/row[7]/col8"),""))</f>
        <v/>
      </c>
      <c r="I27" s="0" t="str">
        <f>IF($N$2="","",IFERROR(FILTERXML($N$2,"/oilpriceapi/rows/row[7]/col9"),""))</f>
        <v/>
      </c>
      <c r="J27" s="0" t="str">
        <f>IF($N$2="","",IFERROR(FILTERXML($N$2,"/oilpriceapi/rows/row[7]/col10"),""))</f>
        <v/>
      </c>
      <c r="K27" s="0" t="str">
        <f>IF($N$2="","",IFERROR(FILTERXML($N$2,"/oilpriceapi/rows/row[7]/col11"),""))</f>
        <v/>
      </c>
      <c r="L27" s="0" t="str">
        <f>IF($N$2="","",IFERROR(FILTERXML($N$2,"/oilpriceapi/rows/row[7]/col12"),""))</f>
        <v/>
      </c>
    </row>
    <row r="28" ht="24" customHeight="1">
      <c r="A28" s="0" t="str">
        <f>IF($N$2="","",IFERROR(FILTERXML($N$2,"/oilpriceapi/rows/row[8]/col1"),""))</f>
        <v/>
      </c>
      <c r="B28" s="0" t="str">
        <f>IF($N$2="","",IFERROR(FILTERXML($N$2,"/oilpriceapi/rows/row[8]/col2"),""))</f>
        <v/>
      </c>
      <c r="C28" s="0" t="str">
        <f>IF($N$2="","",IFERROR(FILTERXML($N$2,"/oilpriceapi/rows/row[8]/col3"),""))</f>
        <v/>
      </c>
      <c r="D28" s="0" t="str">
        <f>IF($N$2="","",IFERROR(FILTERXML($N$2,"/oilpriceapi/rows/row[8]/col4"),""))</f>
        <v/>
      </c>
      <c r="E28" s="0" t="str">
        <f>IF($N$2="","",IFERROR(FILTERXML($N$2,"/oilpriceapi/rows/row[8]/col5"),""))</f>
        <v/>
      </c>
      <c r="F28" s="0" t="str">
        <f>IF($N$2="","",IFERROR(FILTERXML($N$2,"/oilpriceapi/rows/row[8]/col6"),""))</f>
        <v/>
      </c>
      <c r="G28" s="0" t="str">
        <f>IF($N$2="","",IFERROR(FILTERXML($N$2,"/oilpriceapi/rows/row[8]/col7"),""))</f>
        <v/>
      </c>
      <c r="H28" s="0" t="str">
        <f>IF($N$2="","",IFERROR(FILTERXML($N$2,"/oilpriceapi/rows/row[8]/col8"),""))</f>
        <v/>
      </c>
      <c r="I28" s="0" t="str">
        <f>IF($N$2="","",IFERROR(FILTERXML($N$2,"/oilpriceapi/rows/row[8]/col9"),""))</f>
        <v/>
      </c>
      <c r="J28" s="0" t="str">
        <f>IF($N$2="","",IFERROR(FILTERXML($N$2,"/oilpriceapi/rows/row[8]/col10"),""))</f>
        <v/>
      </c>
      <c r="K28" s="0" t="str">
        <f>IF($N$2="","",IFERROR(FILTERXML($N$2,"/oilpriceapi/rows/row[8]/col11"),""))</f>
        <v/>
      </c>
      <c r="L28" s="0" t="str">
        <f>IF($N$2="","",IFERROR(FILTERXML($N$2,"/oilpriceapi/rows/row[8]/col12"),""))</f>
        <v/>
      </c>
    </row>
    <row r="29" ht="24" customHeight="1">
      <c r="A29" s="0" t="str">
        <f>IF($N$2="","",IFERROR(FILTERXML($N$2,"/oilpriceapi/rows/row[9]/col1"),""))</f>
        <v/>
      </c>
      <c r="B29" s="0" t="str">
        <f>IF($N$2="","",IFERROR(FILTERXML($N$2,"/oilpriceapi/rows/row[9]/col2"),""))</f>
        <v/>
      </c>
      <c r="C29" s="0" t="str">
        <f>IF($N$2="","",IFERROR(FILTERXML($N$2,"/oilpriceapi/rows/row[9]/col3"),""))</f>
        <v/>
      </c>
      <c r="D29" s="0" t="str">
        <f>IF($N$2="","",IFERROR(FILTERXML($N$2,"/oilpriceapi/rows/row[9]/col4"),""))</f>
        <v/>
      </c>
      <c r="E29" s="0" t="str">
        <f>IF($N$2="","",IFERROR(FILTERXML($N$2,"/oilpriceapi/rows/row[9]/col5"),""))</f>
        <v/>
      </c>
      <c r="F29" s="0" t="str">
        <f>IF($N$2="","",IFERROR(FILTERXML($N$2,"/oilpriceapi/rows/row[9]/col6"),""))</f>
        <v/>
      </c>
      <c r="G29" s="0" t="str">
        <f>IF($N$2="","",IFERROR(FILTERXML($N$2,"/oilpriceapi/rows/row[9]/col7"),""))</f>
        <v/>
      </c>
      <c r="H29" s="0" t="str">
        <f>IF($N$2="","",IFERROR(FILTERXML($N$2,"/oilpriceapi/rows/row[9]/col8"),""))</f>
        <v/>
      </c>
      <c r="I29" s="0" t="str">
        <f>IF($N$2="","",IFERROR(FILTERXML($N$2,"/oilpriceapi/rows/row[9]/col9"),""))</f>
        <v/>
      </c>
      <c r="J29" s="0" t="str">
        <f>IF($N$2="","",IFERROR(FILTERXML($N$2,"/oilpriceapi/rows/row[9]/col10"),""))</f>
        <v/>
      </c>
      <c r="K29" s="0" t="str">
        <f>IF($N$2="","",IFERROR(FILTERXML($N$2,"/oilpriceapi/rows/row[9]/col11"),""))</f>
        <v/>
      </c>
      <c r="L29" s="0" t="str">
        <f>IF($N$2="","",IFERROR(FILTERXML($N$2,"/oilpriceapi/rows/row[9]/col12"),""))</f>
        <v/>
      </c>
    </row>
    <row r="30" ht="24" customHeight="1">
      <c r="A30" s="0" t="str">
        <f>IF($N$2="","",IFERROR(FILTERXML($N$2,"/oilpriceapi/rows/row[10]/col1"),""))</f>
        <v/>
      </c>
      <c r="B30" s="0" t="str">
        <f>IF($N$2="","",IFERROR(FILTERXML($N$2,"/oilpriceapi/rows/row[10]/col2"),""))</f>
        <v/>
      </c>
      <c r="C30" s="0" t="str">
        <f>IF($N$2="","",IFERROR(FILTERXML($N$2,"/oilpriceapi/rows/row[10]/col3"),""))</f>
        <v/>
      </c>
      <c r="D30" s="0" t="str">
        <f>IF($N$2="","",IFERROR(FILTERXML($N$2,"/oilpriceapi/rows/row[10]/col4"),""))</f>
        <v/>
      </c>
      <c r="E30" s="0" t="str">
        <f>IF($N$2="","",IFERROR(FILTERXML($N$2,"/oilpriceapi/rows/row[10]/col5"),""))</f>
        <v/>
      </c>
      <c r="F30" s="0" t="str">
        <f>IF($N$2="","",IFERROR(FILTERXML($N$2,"/oilpriceapi/rows/row[10]/col6"),""))</f>
        <v/>
      </c>
      <c r="G30" s="0" t="str">
        <f>IF($N$2="","",IFERROR(FILTERXML($N$2,"/oilpriceapi/rows/row[10]/col7"),""))</f>
        <v/>
      </c>
      <c r="H30" s="0" t="str">
        <f>IF($N$2="","",IFERROR(FILTERXML($N$2,"/oilpriceapi/rows/row[10]/col8"),""))</f>
        <v/>
      </c>
      <c r="I30" s="0" t="str">
        <f>IF($N$2="","",IFERROR(FILTERXML($N$2,"/oilpriceapi/rows/row[10]/col9"),""))</f>
        <v/>
      </c>
      <c r="J30" s="0" t="str">
        <f>IF($N$2="","",IFERROR(FILTERXML($N$2,"/oilpriceapi/rows/row[10]/col10"),""))</f>
        <v/>
      </c>
      <c r="K30" s="0" t="str">
        <f>IF($N$2="","",IFERROR(FILTERXML($N$2,"/oilpriceapi/rows/row[10]/col11"),""))</f>
        <v/>
      </c>
      <c r="L30" s="0" t="str">
        <f>IF($N$2="","",IFERROR(FILTERXML($N$2,"/oilpriceapi/rows/row[10]/col12"),""))</f>
        <v/>
      </c>
    </row>
    <row r="31" ht="24" customHeight="1">
      <c r="A31" s="0" t="str">
        <f>IF($N$2="","",IFERROR(FILTERXML($N$2,"/oilpriceapi/rows/row[11]/col1"),""))</f>
        <v/>
      </c>
      <c r="B31" s="0" t="str">
        <f>IF($N$2="","",IFERROR(FILTERXML($N$2,"/oilpriceapi/rows/row[11]/col2"),""))</f>
        <v/>
      </c>
      <c r="C31" s="0" t="str">
        <f>IF($N$2="","",IFERROR(FILTERXML($N$2,"/oilpriceapi/rows/row[11]/col3"),""))</f>
        <v/>
      </c>
      <c r="D31" s="0" t="str">
        <f>IF($N$2="","",IFERROR(FILTERXML($N$2,"/oilpriceapi/rows/row[11]/col4"),""))</f>
        <v/>
      </c>
      <c r="E31" s="0" t="str">
        <f>IF($N$2="","",IFERROR(FILTERXML($N$2,"/oilpriceapi/rows/row[11]/col5"),""))</f>
        <v/>
      </c>
      <c r="F31" s="0" t="str">
        <f>IF($N$2="","",IFERROR(FILTERXML($N$2,"/oilpriceapi/rows/row[11]/col6"),""))</f>
        <v/>
      </c>
      <c r="G31" s="0" t="str">
        <f>IF($N$2="","",IFERROR(FILTERXML($N$2,"/oilpriceapi/rows/row[11]/col7"),""))</f>
        <v/>
      </c>
      <c r="H31" s="0" t="str">
        <f>IF($N$2="","",IFERROR(FILTERXML($N$2,"/oilpriceapi/rows/row[11]/col8"),""))</f>
        <v/>
      </c>
      <c r="I31" s="0" t="str">
        <f>IF($N$2="","",IFERROR(FILTERXML($N$2,"/oilpriceapi/rows/row[11]/col9"),""))</f>
        <v/>
      </c>
      <c r="J31" s="0" t="str">
        <f>IF($N$2="","",IFERROR(FILTERXML($N$2,"/oilpriceapi/rows/row[11]/col10"),""))</f>
        <v/>
      </c>
      <c r="K31" s="0" t="str">
        <f>IF($N$2="","",IFERROR(FILTERXML($N$2,"/oilpriceapi/rows/row[11]/col11"),""))</f>
        <v/>
      </c>
      <c r="L31" s="0" t="str">
        <f>IF($N$2="","",IFERROR(FILTERXML($N$2,"/oilpriceapi/rows/row[11]/col12"),""))</f>
        <v/>
      </c>
    </row>
    <row r="32" ht="24" customHeight="1">
      <c r="A32" s="0" t="str">
        <f>IF($N$2="","",IFERROR(FILTERXML($N$2,"/oilpriceapi/rows/row[12]/col1"),""))</f>
        <v/>
      </c>
      <c r="B32" s="0" t="str">
        <f>IF($N$2="","",IFERROR(FILTERXML($N$2,"/oilpriceapi/rows/row[12]/col2"),""))</f>
        <v/>
      </c>
      <c r="C32" s="0" t="str">
        <f>IF($N$2="","",IFERROR(FILTERXML($N$2,"/oilpriceapi/rows/row[12]/col3"),""))</f>
        <v/>
      </c>
      <c r="D32" s="0" t="str">
        <f>IF($N$2="","",IFERROR(FILTERXML($N$2,"/oilpriceapi/rows/row[12]/col4"),""))</f>
        <v/>
      </c>
      <c r="E32" s="0" t="str">
        <f>IF($N$2="","",IFERROR(FILTERXML($N$2,"/oilpriceapi/rows/row[12]/col5"),""))</f>
        <v/>
      </c>
      <c r="F32" s="0" t="str">
        <f>IF($N$2="","",IFERROR(FILTERXML($N$2,"/oilpriceapi/rows/row[12]/col6"),""))</f>
        <v/>
      </c>
      <c r="G32" s="0" t="str">
        <f>IF($N$2="","",IFERROR(FILTERXML($N$2,"/oilpriceapi/rows/row[12]/col7"),""))</f>
        <v/>
      </c>
      <c r="H32" s="0" t="str">
        <f>IF($N$2="","",IFERROR(FILTERXML($N$2,"/oilpriceapi/rows/row[12]/col8"),""))</f>
        <v/>
      </c>
      <c r="I32" s="0" t="str">
        <f>IF($N$2="","",IFERROR(FILTERXML($N$2,"/oilpriceapi/rows/row[12]/col9"),""))</f>
        <v/>
      </c>
      <c r="J32" s="0" t="str">
        <f>IF($N$2="","",IFERROR(FILTERXML($N$2,"/oilpriceapi/rows/row[12]/col10"),""))</f>
        <v/>
      </c>
      <c r="K32" s="0" t="str">
        <f>IF($N$2="","",IFERROR(FILTERXML($N$2,"/oilpriceapi/rows/row[12]/col11"),""))</f>
        <v/>
      </c>
      <c r="L32" s="0" t="str">
        <f>IF($N$2="","",IFERROR(FILTERXML($N$2,"/oilpriceapi/rows/row[12]/col12"),""))</f>
        <v/>
      </c>
    </row>
    <row r="33" ht="24" customHeight="1">
      <c r="A33" s="0" t="str">
        <f>IF($N$2="","",IFERROR(FILTERXML($N$2,"/oilpriceapi/rows/row[13]/col1"),""))</f>
        <v/>
      </c>
      <c r="B33" s="0" t="str">
        <f>IF($N$2="","",IFERROR(FILTERXML($N$2,"/oilpriceapi/rows/row[13]/col2"),""))</f>
        <v/>
      </c>
      <c r="C33" s="0" t="str">
        <f>IF($N$2="","",IFERROR(FILTERXML($N$2,"/oilpriceapi/rows/row[13]/col3"),""))</f>
        <v/>
      </c>
      <c r="D33" s="0" t="str">
        <f>IF($N$2="","",IFERROR(FILTERXML($N$2,"/oilpriceapi/rows/row[13]/col4"),""))</f>
        <v/>
      </c>
      <c r="E33" s="0" t="str">
        <f>IF($N$2="","",IFERROR(FILTERXML($N$2,"/oilpriceapi/rows/row[13]/col5"),""))</f>
        <v/>
      </c>
      <c r="F33" s="0" t="str">
        <f>IF($N$2="","",IFERROR(FILTERXML($N$2,"/oilpriceapi/rows/row[13]/col6"),""))</f>
        <v/>
      </c>
      <c r="G33" s="0" t="str">
        <f>IF($N$2="","",IFERROR(FILTERXML($N$2,"/oilpriceapi/rows/row[13]/col7"),""))</f>
        <v/>
      </c>
      <c r="H33" s="0" t="str">
        <f>IF($N$2="","",IFERROR(FILTERXML($N$2,"/oilpriceapi/rows/row[13]/col8"),""))</f>
        <v/>
      </c>
      <c r="I33" s="0" t="str">
        <f>IF($N$2="","",IFERROR(FILTERXML($N$2,"/oilpriceapi/rows/row[13]/col9"),""))</f>
        <v/>
      </c>
      <c r="J33" s="0" t="str">
        <f>IF($N$2="","",IFERROR(FILTERXML($N$2,"/oilpriceapi/rows/row[13]/col10"),""))</f>
        <v/>
      </c>
      <c r="K33" s="0" t="str">
        <f>IF($N$2="","",IFERROR(FILTERXML($N$2,"/oilpriceapi/rows/row[13]/col11"),""))</f>
        <v/>
      </c>
      <c r="L33" s="0" t="str">
        <f>IF($N$2="","",IFERROR(FILTERXML($N$2,"/oilpriceapi/rows/row[13]/col12"),""))</f>
        <v/>
      </c>
    </row>
    <row r="34" ht="24" customHeight="1">
      <c r="A34" s="0" t="str">
        <f>IF($N$2="","",IFERROR(FILTERXML($N$2,"/oilpriceapi/rows/row[14]/col1"),""))</f>
        <v/>
      </c>
      <c r="B34" s="0" t="str">
        <f>IF($N$2="","",IFERROR(FILTERXML($N$2,"/oilpriceapi/rows/row[14]/col2"),""))</f>
        <v/>
      </c>
      <c r="C34" s="0" t="str">
        <f>IF($N$2="","",IFERROR(FILTERXML($N$2,"/oilpriceapi/rows/row[14]/col3"),""))</f>
        <v/>
      </c>
      <c r="D34" s="0" t="str">
        <f>IF($N$2="","",IFERROR(FILTERXML($N$2,"/oilpriceapi/rows/row[14]/col4"),""))</f>
        <v/>
      </c>
      <c r="E34" s="0" t="str">
        <f>IF($N$2="","",IFERROR(FILTERXML($N$2,"/oilpriceapi/rows/row[14]/col5"),""))</f>
        <v/>
      </c>
      <c r="F34" s="0" t="str">
        <f>IF($N$2="","",IFERROR(FILTERXML($N$2,"/oilpriceapi/rows/row[14]/col6"),""))</f>
        <v/>
      </c>
      <c r="G34" s="0" t="str">
        <f>IF($N$2="","",IFERROR(FILTERXML($N$2,"/oilpriceapi/rows/row[14]/col7"),""))</f>
        <v/>
      </c>
      <c r="H34" s="0" t="str">
        <f>IF($N$2="","",IFERROR(FILTERXML($N$2,"/oilpriceapi/rows/row[14]/col8"),""))</f>
        <v/>
      </c>
      <c r="I34" s="0" t="str">
        <f>IF($N$2="","",IFERROR(FILTERXML($N$2,"/oilpriceapi/rows/row[14]/col9"),""))</f>
        <v/>
      </c>
      <c r="J34" s="0" t="str">
        <f>IF($N$2="","",IFERROR(FILTERXML($N$2,"/oilpriceapi/rows/row[14]/col10"),""))</f>
        <v/>
      </c>
      <c r="K34" s="0" t="str">
        <f>IF($N$2="","",IFERROR(FILTERXML($N$2,"/oilpriceapi/rows/row[14]/col11"),""))</f>
        <v/>
      </c>
      <c r="L34" s="0" t="str">
        <f>IF($N$2="","",IFERROR(FILTERXML($N$2,"/oilpriceapi/rows/row[14]/col12"),""))</f>
        <v/>
      </c>
    </row>
    <row r="35" ht="24" customHeight="1">
      <c r="A35" s="0" t="str">
        <f>IF($N$2="","",IFERROR(FILTERXML($N$2,"/oilpriceapi/rows/row[15]/col1"),""))</f>
        <v/>
      </c>
      <c r="B35" s="0" t="str">
        <f>IF($N$2="","",IFERROR(FILTERXML($N$2,"/oilpriceapi/rows/row[15]/col2"),""))</f>
        <v/>
      </c>
      <c r="C35" s="0" t="str">
        <f>IF($N$2="","",IFERROR(FILTERXML($N$2,"/oilpriceapi/rows/row[15]/col3"),""))</f>
        <v/>
      </c>
      <c r="D35" s="0" t="str">
        <f>IF($N$2="","",IFERROR(FILTERXML($N$2,"/oilpriceapi/rows/row[15]/col4"),""))</f>
        <v/>
      </c>
      <c r="E35" s="0" t="str">
        <f>IF($N$2="","",IFERROR(FILTERXML($N$2,"/oilpriceapi/rows/row[15]/col5"),""))</f>
        <v/>
      </c>
      <c r="F35" s="0" t="str">
        <f>IF($N$2="","",IFERROR(FILTERXML($N$2,"/oilpriceapi/rows/row[15]/col6"),""))</f>
        <v/>
      </c>
      <c r="G35" s="0" t="str">
        <f>IF($N$2="","",IFERROR(FILTERXML($N$2,"/oilpriceapi/rows/row[15]/col7"),""))</f>
        <v/>
      </c>
      <c r="H35" s="0" t="str">
        <f>IF($N$2="","",IFERROR(FILTERXML($N$2,"/oilpriceapi/rows/row[15]/col8"),""))</f>
        <v/>
      </c>
      <c r="I35" s="0" t="str">
        <f>IF($N$2="","",IFERROR(FILTERXML($N$2,"/oilpriceapi/rows/row[15]/col9"),""))</f>
        <v/>
      </c>
      <c r="J35" s="0" t="str">
        <f>IF($N$2="","",IFERROR(FILTERXML($N$2,"/oilpriceapi/rows/row[15]/col10"),""))</f>
        <v/>
      </c>
      <c r="K35" s="0" t="str">
        <f>IF($N$2="","",IFERROR(FILTERXML($N$2,"/oilpriceapi/rows/row[15]/col11"),""))</f>
        <v/>
      </c>
      <c r="L35" s="0" t="str">
        <f>IF($N$2="","",IFERROR(FILTERXML($N$2,"/oilpriceapi/rows/row[15]/col12"),""))</f>
        <v/>
      </c>
    </row>
    <row r="36" ht="24" customHeight="1">
      <c r="A36" s="0" t="str">
        <f>IF($N$2="","",IFERROR(FILTERXML($N$2,"/oilpriceapi/rows/row[16]/col1"),""))</f>
        <v/>
      </c>
      <c r="B36" s="0" t="str">
        <f>IF($N$2="","",IFERROR(FILTERXML($N$2,"/oilpriceapi/rows/row[16]/col2"),""))</f>
        <v/>
      </c>
      <c r="C36" s="0" t="str">
        <f>IF($N$2="","",IFERROR(FILTERXML($N$2,"/oilpriceapi/rows/row[16]/col3"),""))</f>
        <v/>
      </c>
      <c r="D36" s="0" t="str">
        <f>IF($N$2="","",IFERROR(FILTERXML($N$2,"/oilpriceapi/rows/row[16]/col4"),""))</f>
        <v/>
      </c>
      <c r="E36" s="0" t="str">
        <f>IF($N$2="","",IFERROR(FILTERXML($N$2,"/oilpriceapi/rows/row[16]/col5"),""))</f>
        <v/>
      </c>
      <c r="F36" s="0" t="str">
        <f>IF($N$2="","",IFERROR(FILTERXML($N$2,"/oilpriceapi/rows/row[16]/col6"),""))</f>
        <v/>
      </c>
      <c r="G36" s="0" t="str">
        <f>IF($N$2="","",IFERROR(FILTERXML($N$2,"/oilpriceapi/rows/row[16]/col7"),""))</f>
        <v/>
      </c>
      <c r="H36" s="0" t="str">
        <f>IF($N$2="","",IFERROR(FILTERXML($N$2,"/oilpriceapi/rows/row[16]/col8"),""))</f>
        <v/>
      </c>
      <c r="I36" s="0" t="str">
        <f>IF($N$2="","",IFERROR(FILTERXML($N$2,"/oilpriceapi/rows/row[16]/col9"),""))</f>
        <v/>
      </c>
      <c r="J36" s="0" t="str">
        <f>IF($N$2="","",IFERROR(FILTERXML($N$2,"/oilpriceapi/rows/row[16]/col10"),""))</f>
        <v/>
      </c>
      <c r="K36" s="0" t="str">
        <f>IF($N$2="","",IFERROR(FILTERXML($N$2,"/oilpriceapi/rows/row[16]/col11"),""))</f>
        <v/>
      </c>
      <c r="L36" s="0" t="str">
        <f>IF($N$2="","",IFERROR(FILTERXML($N$2,"/oilpriceapi/rows/row[16]/col12"),""))</f>
        <v/>
      </c>
    </row>
    <row r="37" ht="24" customHeight="1">
      <c r="A37" s="0" t="str">
        <f>IF($N$2="","",IFERROR(FILTERXML($N$2,"/oilpriceapi/rows/row[17]/col1"),""))</f>
        <v/>
      </c>
      <c r="B37" s="0" t="str">
        <f>IF($N$2="","",IFERROR(FILTERXML($N$2,"/oilpriceapi/rows/row[17]/col2"),""))</f>
        <v/>
      </c>
      <c r="C37" s="0" t="str">
        <f>IF($N$2="","",IFERROR(FILTERXML($N$2,"/oilpriceapi/rows/row[17]/col3"),""))</f>
        <v/>
      </c>
      <c r="D37" s="0" t="str">
        <f>IF($N$2="","",IFERROR(FILTERXML($N$2,"/oilpriceapi/rows/row[17]/col4"),""))</f>
        <v/>
      </c>
      <c r="E37" s="0" t="str">
        <f>IF($N$2="","",IFERROR(FILTERXML($N$2,"/oilpriceapi/rows/row[17]/col5"),""))</f>
        <v/>
      </c>
      <c r="F37" s="0" t="str">
        <f>IF($N$2="","",IFERROR(FILTERXML($N$2,"/oilpriceapi/rows/row[17]/col6"),""))</f>
        <v/>
      </c>
      <c r="G37" s="0" t="str">
        <f>IF($N$2="","",IFERROR(FILTERXML($N$2,"/oilpriceapi/rows/row[17]/col7"),""))</f>
        <v/>
      </c>
      <c r="H37" s="0" t="str">
        <f>IF($N$2="","",IFERROR(FILTERXML($N$2,"/oilpriceapi/rows/row[17]/col8"),""))</f>
        <v/>
      </c>
      <c r="I37" s="0" t="str">
        <f>IF($N$2="","",IFERROR(FILTERXML($N$2,"/oilpriceapi/rows/row[17]/col9"),""))</f>
        <v/>
      </c>
      <c r="J37" s="0" t="str">
        <f>IF($N$2="","",IFERROR(FILTERXML($N$2,"/oilpriceapi/rows/row[17]/col10"),""))</f>
        <v/>
      </c>
      <c r="K37" s="0" t="str">
        <f>IF($N$2="","",IFERROR(FILTERXML($N$2,"/oilpriceapi/rows/row[17]/col11"),""))</f>
        <v/>
      </c>
      <c r="L37" s="0" t="str">
        <f>IF($N$2="","",IFERROR(FILTERXML($N$2,"/oilpriceapi/rows/row[17]/col12"),""))</f>
        <v/>
      </c>
    </row>
    <row r="38" ht="24" customHeight="1">
      <c r="A38" s="0" t="str">
        <f>IF($N$2="","",IFERROR(FILTERXML($N$2,"/oilpriceapi/rows/row[18]/col1"),""))</f>
        <v/>
      </c>
      <c r="B38" s="0" t="str">
        <f>IF($N$2="","",IFERROR(FILTERXML($N$2,"/oilpriceapi/rows/row[18]/col2"),""))</f>
        <v/>
      </c>
      <c r="C38" s="0" t="str">
        <f>IF($N$2="","",IFERROR(FILTERXML($N$2,"/oilpriceapi/rows/row[18]/col3"),""))</f>
        <v/>
      </c>
      <c r="D38" s="0" t="str">
        <f>IF($N$2="","",IFERROR(FILTERXML($N$2,"/oilpriceapi/rows/row[18]/col4"),""))</f>
        <v/>
      </c>
      <c r="E38" s="0" t="str">
        <f>IF($N$2="","",IFERROR(FILTERXML($N$2,"/oilpriceapi/rows/row[18]/col5"),""))</f>
        <v/>
      </c>
      <c r="F38" s="0" t="str">
        <f>IF($N$2="","",IFERROR(FILTERXML($N$2,"/oilpriceapi/rows/row[18]/col6"),""))</f>
        <v/>
      </c>
      <c r="G38" s="0" t="str">
        <f>IF($N$2="","",IFERROR(FILTERXML($N$2,"/oilpriceapi/rows/row[18]/col7"),""))</f>
        <v/>
      </c>
      <c r="H38" s="0" t="str">
        <f>IF($N$2="","",IFERROR(FILTERXML($N$2,"/oilpriceapi/rows/row[18]/col8"),""))</f>
        <v/>
      </c>
      <c r="I38" s="0" t="str">
        <f>IF($N$2="","",IFERROR(FILTERXML($N$2,"/oilpriceapi/rows/row[18]/col9"),""))</f>
        <v/>
      </c>
      <c r="J38" s="0" t="str">
        <f>IF($N$2="","",IFERROR(FILTERXML($N$2,"/oilpriceapi/rows/row[18]/col10"),""))</f>
        <v/>
      </c>
      <c r="K38" s="0" t="str">
        <f>IF($N$2="","",IFERROR(FILTERXML($N$2,"/oilpriceapi/rows/row[18]/col11"),""))</f>
        <v/>
      </c>
      <c r="L38" s="0" t="str">
        <f>IF($N$2="","",IFERROR(FILTERXML($N$2,"/oilpriceapi/rows/row[18]/col12"),""))</f>
        <v/>
      </c>
    </row>
    <row r="39" ht="24" customHeight="1">
      <c r="A39" s="0" t="str">
        <f>IF($N$2="","",IFERROR(FILTERXML($N$2,"/oilpriceapi/rows/row[19]/col1"),""))</f>
        <v/>
      </c>
      <c r="B39" s="0" t="str">
        <f>IF($N$2="","",IFERROR(FILTERXML($N$2,"/oilpriceapi/rows/row[19]/col2"),""))</f>
        <v/>
      </c>
      <c r="C39" s="0" t="str">
        <f>IF($N$2="","",IFERROR(FILTERXML($N$2,"/oilpriceapi/rows/row[19]/col3"),""))</f>
        <v/>
      </c>
      <c r="D39" s="0" t="str">
        <f>IF($N$2="","",IFERROR(FILTERXML($N$2,"/oilpriceapi/rows/row[19]/col4"),""))</f>
        <v/>
      </c>
      <c r="E39" s="0" t="str">
        <f>IF($N$2="","",IFERROR(FILTERXML($N$2,"/oilpriceapi/rows/row[19]/col5"),""))</f>
        <v/>
      </c>
      <c r="F39" s="0" t="str">
        <f>IF($N$2="","",IFERROR(FILTERXML($N$2,"/oilpriceapi/rows/row[19]/col6"),""))</f>
        <v/>
      </c>
      <c r="G39" s="0" t="str">
        <f>IF($N$2="","",IFERROR(FILTERXML($N$2,"/oilpriceapi/rows/row[19]/col7"),""))</f>
        <v/>
      </c>
      <c r="H39" s="0" t="str">
        <f>IF($N$2="","",IFERROR(FILTERXML($N$2,"/oilpriceapi/rows/row[19]/col8"),""))</f>
        <v/>
      </c>
      <c r="I39" s="0" t="str">
        <f>IF($N$2="","",IFERROR(FILTERXML($N$2,"/oilpriceapi/rows/row[19]/col9"),""))</f>
        <v/>
      </c>
      <c r="J39" s="0" t="str">
        <f>IF($N$2="","",IFERROR(FILTERXML($N$2,"/oilpriceapi/rows/row[19]/col10"),""))</f>
        <v/>
      </c>
      <c r="K39" s="0" t="str">
        <f>IF($N$2="","",IFERROR(FILTERXML($N$2,"/oilpriceapi/rows/row[19]/col11"),""))</f>
        <v/>
      </c>
      <c r="L39" s="0" t="str">
        <f>IF($N$2="","",IFERROR(FILTERXML($N$2,"/oilpriceapi/rows/row[19]/col12"),""))</f>
        <v/>
      </c>
    </row>
    <row r="40" ht="24" customHeight="1">
      <c r="A40" s="0" t="str">
        <f>IF($N$2="","",IFERROR(FILTERXML($N$2,"/oilpriceapi/rows/row[20]/col1"),""))</f>
        <v/>
      </c>
      <c r="B40" s="0" t="str">
        <f>IF($N$2="","",IFERROR(FILTERXML($N$2,"/oilpriceapi/rows/row[20]/col2"),""))</f>
        <v/>
      </c>
      <c r="C40" s="0" t="str">
        <f>IF($N$2="","",IFERROR(FILTERXML($N$2,"/oilpriceapi/rows/row[20]/col3"),""))</f>
        <v/>
      </c>
      <c r="D40" s="0" t="str">
        <f>IF($N$2="","",IFERROR(FILTERXML($N$2,"/oilpriceapi/rows/row[20]/col4"),""))</f>
        <v/>
      </c>
      <c r="E40" s="0" t="str">
        <f>IF($N$2="","",IFERROR(FILTERXML($N$2,"/oilpriceapi/rows/row[20]/col5"),""))</f>
        <v/>
      </c>
      <c r="F40" s="0" t="str">
        <f>IF($N$2="","",IFERROR(FILTERXML($N$2,"/oilpriceapi/rows/row[20]/col6"),""))</f>
        <v/>
      </c>
      <c r="G40" s="0" t="str">
        <f>IF($N$2="","",IFERROR(FILTERXML($N$2,"/oilpriceapi/rows/row[20]/col7"),""))</f>
        <v/>
      </c>
      <c r="H40" s="0" t="str">
        <f>IF($N$2="","",IFERROR(FILTERXML($N$2,"/oilpriceapi/rows/row[20]/col8"),""))</f>
        <v/>
      </c>
      <c r="I40" s="0" t="str">
        <f>IF($N$2="","",IFERROR(FILTERXML($N$2,"/oilpriceapi/rows/row[20]/col9"),""))</f>
        <v/>
      </c>
      <c r="J40" s="0" t="str">
        <f>IF($N$2="","",IFERROR(FILTERXML($N$2,"/oilpriceapi/rows/row[20]/col10"),""))</f>
        <v/>
      </c>
      <c r="K40" s="0" t="str">
        <f>IF($N$2="","",IFERROR(FILTERXML($N$2,"/oilpriceapi/rows/row[20]/col11"),""))</f>
        <v/>
      </c>
      <c r="L40" s="0" t="str">
        <f>IF($N$2="","",IFERROR(FILTERXML($N$2,"/oilpriceapi/rows/row[20]/col12"),""))</f>
        <v/>
      </c>
    </row>
    <row r="41" ht="24" customHeight="1">
      <c r="A41" s="0" t="str">
        <f>IF($N$2="","",IFERROR(FILTERXML($N$2,"/oilpriceapi/rows/row[21]/col1"),""))</f>
        <v/>
      </c>
      <c r="B41" s="0" t="str">
        <f>IF($N$2="","",IFERROR(FILTERXML($N$2,"/oilpriceapi/rows/row[21]/col2"),""))</f>
        <v/>
      </c>
      <c r="C41" s="0" t="str">
        <f>IF($N$2="","",IFERROR(FILTERXML($N$2,"/oilpriceapi/rows/row[21]/col3"),""))</f>
        <v/>
      </c>
      <c r="D41" s="0" t="str">
        <f>IF($N$2="","",IFERROR(FILTERXML($N$2,"/oilpriceapi/rows/row[21]/col4"),""))</f>
        <v/>
      </c>
      <c r="E41" s="0" t="str">
        <f>IF($N$2="","",IFERROR(FILTERXML($N$2,"/oilpriceapi/rows/row[21]/col5"),""))</f>
        <v/>
      </c>
      <c r="F41" s="0" t="str">
        <f>IF($N$2="","",IFERROR(FILTERXML($N$2,"/oilpriceapi/rows/row[21]/col6"),""))</f>
        <v/>
      </c>
      <c r="G41" s="0" t="str">
        <f>IF($N$2="","",IFERROR(FILTERXML($N$2,"/oilpriceapi/rows/row[21]/col7"),""))</f>
        <v/>
      </c>
      <c r="H41" s="0" t="str">
        <f>IF($N$2="","",IFERROR(FILTERXML($N$2,"/oilpriceapi/rows/row[21]/col8"),""))</f>
        <v/>
      </c>
      <c r="I41" s="0" t="str">
        <f>IF($N$2="","",IFERROR(FILTERXML($N$2,"/oilpriceapi/rows/row[21]/col9"),""))</f>
        <v/>
      </c>
      <c r="J41" s="0" t="str">
        <f>IF($N$2="","",IFERROR(FILTERXML($N$2,"/oilpriceapi/rows/row[21]/col10"),""))</f>
        <v/>
      </c>
      <c r="K41" s="0" t="str">
        <f>IF($N$2="","",IFERROR(FILTERXML($N$2,"/oilpriceapi/rows/row[21]/col11"),""))</f>
        <v/>
      </c>
      <c r="L41" s="0" t="str">
        <f>IF($N$2="","",IFERROR(FILTERXML($N$2,"/oilpriceapi/rows/row[21]/col12"),""))</f>
        <v/>
      </c>
    </row>
    <row r="42" ht="24" customHeight="1">
      <c r="A42" s="0" t="str">
        <f>IF($N$2="","",IFERROR(FILTERXML($N$2,"/oilpriceapi/rows/row[22]/col1"),""))</f>
        <v/>
      </c>
      <c r="B42" s="0" t="str">
        <f>IF($N$2="","",IFERROR(FILTERXML($N$2,"/oilpriceapi/rows/row[22]/col2"),""))</f>
        <v/>
      </c>
      <c r="C42" s="0" t="str">
        <f>IF($N$2="","",IFERROR(FILTERXML($N$2,"/oilpriceapi/rows/row[22]/col3"),""))</f>
        <v/>
      </c>
      <c r="D42" s="0" t="str">
        <f>IF($N$2="","",IFERROR(FILTERXML($N$2,"/oilpriceapi/rows/row[22]/col4"),""))</f>
        <v/>
      </c>
      <c r="E42" s="0" t="str">
        <f>IF($N$2="","",IFERROR(FILTERXML($N$2,"/oilpriceapi/rows/row[22]/col5"),""))</f>
        <v/>
      </c>
      <c r="F42" s="0" t="str">
        <f>IF($N$2="","",IFERROR(FILTERXML($N$2,"/oilpriceapi/rows/row[22]/col6"),""))</f>
        <v/>
      </c>
      <c r="G42" s="0" t="str">
        <f>IF($N$2="","",IFERROR(FILTERXML($N$2,"/oilpriceapi/rows/row[22]/col7"),""))</f>
        <v/>
      </c>
      <c r="H42" s="0" t="str">
        <f>IF($N$2="","",IFERROR(FILTERXML($N$2,"/oilpriceapi/rows/row[22]/col8"),""))</f>
        <v/>
      </c>
      <c r="I42" s="0" t="str">
        <f>IF($N$2="","",IFERROR(FILTERXML($N$2,"/oilpriceapi/rows/row[22]/col9"),""))</f>
        <v/>
      </c>
      <c r="J42" s="0" t="str">
        <f>IF($N$2="","",IFERROR(FILTERXML($N$2,"/oilpriceapi/rows/row[22]/col10"),""))</f>
        <v/>
      </c>
      <c r="K42" s="0" t="str">
        <f>IF($N$2="","",IFERROR(FILTERXML($N$2,"/oilpriceapi/rows/row[22]/col11"),""))</f>
        <v/>
      </c>
      <c r="L42" s="0" t="str">
        <f>IF($N$2="","",IFERROR(FILTERXML($N$2,"/oilpriceapi/rows/row[22]/col12"),""))</f>
        <v/>
      </c>
    </row>
    <row r="43" ht="24" customHeight="1">
      <c r="A43" s="0" t="str">
        <f>IF($N$2="","",IFERROR(FILTERXML($N$2,"/oilpriceapi/rows/row[23]/col1"),""))</f>
        <v/>
      </c>
      <c r="B43" s="0" t="str">
        <f>IF($N$2="","",IFERROR(FILTERXML($N$2,"/oilpriceapi/rows/row[23]/col2"),""))</f>
        <v/>
      </c>
      <c r="C43" s="0" t="str">
        <f>IF($N$2="","",IFERROR(FILTERXML($N$2,"/oilpriceapi/rows/row[23]/col3"),""))</f>
        <v/>
      </c>
      <c r="D43" s="0" t="str">
        <f>IF($N$2="","",IFERROR(FILTERXML($N$2,"/oilpriceapi/rows/row[23]/col4"),""))</f>
        <v/>
      </c>
      <c r="E43" s="0" t="str">
        <f>IF($N$2="","",IFERROR(FILTERXML($N$2,"/oilpriceapi/rows/row[23]/col5"),""))</f>
        <v/>
      </c>
      <c r="F43" s="0" t="str">
        <f>IF($N$2="","",IFERROR(FILTERXML($N$2,"/oilpriceapi/rows/row[23]/col6"),""))</f>
        <v/>
      </c>
      <c r="G43" s="0" t="str">
        <f>IF($N$2="","",IFERROR(FILTERXML($N$2,"/oilpriceapi/rows/row[23]/col7"),""))</f>
        <v/>
      </c>
      <c r="H43" s="0" t="str">
        <f>IF($N$2="","",IFERROR(FILTERXML($N$2,"/oilpriceapi/rows/row[23]/col8"),""))</f>
        <v/>
      </c>
      <c r="I43" s="0" t="str">
        <f>IF($N$2="","",IFERROR(FILTERXML($N$2,"/oilpriceapi/rows/row[23]/col9"),""))</f>
        <v/>
      </c>
      <c r="J43" s="0" t="str">
        <f>IF($N$2="","",IFERROR(FILTERXML($N$2,"/oilpriceapi/rows/row[23]/col10"),""))</f>
        <v/>
      </c>
      <c r="K43" s="0" t="str">
        <f>IF($N$2="","",IFERROR(FILTERXML($N$2,"/oilpriceapi/rows/row[23]/col11"),""))</f>
        <v/>
      </c>
      <c r="L43" s="0" t="str">
        <f>IF($N$2="","",IFERROR(FILTERXML($N$2,"/oilpriceapi/rows/row[23]/col12"),""))</f>
        <v/>
      </c>
    </row>
    <row r="44" ht="24" customHeight="1">
      <c r="A44" s="0" t="str">
        <f>IF($N$2="","",IFERROR(FILTERXML($N$2,"/oilpriceapi/rows/row[24]/col1"),""))</f>
        <v/>
      </c>
      <c r="B44" s="0" t="str">
        <f>IF($N$2="","",IFERROR(FILTERXML($N$2,"/oilpriceapi/rows/row[24]/col2"),""))</f>
        <v/>
      </c>
      <c r="C44" s="0" t="str">
        <f>IF($N$2="","",IFERROR(FILTERXML($N$2,"/oilpriceapi/rows/row[24]/col3"),""))</f>
        <v/>
      </c>
      <c r="D44" s="0" t="str">
        <f>IF($N$2="","",IFERROR(FILTERXML($N$2,"/oilpriceapi/rows/row[24]/col4"),""))</f>
        <v/>
      </c>
      <c r="E44" s="0" t="str">
        <f>IF($N$2="","",IFERROR(FILTERXML($N$2,"/oilpriceapi/rows/row[24]/col5"),""))</f>
        <v/>
      </c>
      <c r="F44" s="0" t="str">
        <f>IF($N$2="","",IFERROR(FILTERXML($N$2,"/oilpriceapi/rows/row[24]/col6"),""))</f>
        <v/>
      </c>
      <c r="G44" s="0" t="str">
        <f>IF($N$2="","",IFERROR(FILTERXML($N$2,"/oilpriceapi/rows/row[24]/col7"),""))</f>
        <v/>
      </c>
      <c r="H44" s="0" t="str">
        <f>IF($N$2="","",IFERROR(FILTERXML($N$2,"/oilpriceapi/rows/row[24]/col8"),""))</f>
        <v/>
      </c>
      <c r="I44" s="0" t="str">
        <f>IF($N$2="","",IFERROR(FILTERXML($N$2,"/oilpriceapi/rows/row[24]/col9"),""))</f>
        <v/>
      </c>
      <c r="J44" s="0" t="str">
        <f>IF($N$2="","",IFERROR(FILTERXML($N$2,"/oilpriceapi/rows/row[24]/col10"),""))</f>
        <v/>
      </c>
      <c r="K44" s="0" t="str">
        <f>IF($N$2="","",IFERROR(FILTERXML($N$2,"/oilpriceapi/rows/row[24]/col11"),""))</f>
        <v/>
      </c>
      <c r="L44" s="0" t="str">
        <f>IF($N$2="","",IFERROR(FILTERXML($N$2,"/oilpriceapi/rows/row[24]/col12"),""))</f>
        <v/>
      </c>
    </row>
    <row r="45" ht="24" customHeight="1">
      <c r="A45" s="0" t="str">
        <f>IF($N$2="","",IFERROR(FILTERXML($N$2,"/oilpriceapi/rows/row[25]/col1"),""))</f>
        <v/>
      </c>
      <c r="B45" s="0" t="str">
        <f>IF($N$2="","",IFERROR(FILTERXML($N$2,"/oilpriceapi/rows/row[25]/col2"),""))</f>
        <v/>
      </c>
      <c r="C45" s="0" t="str">
        <f>IF($N$2="","",IFERROR(FILTERXML($N$2,"/oilpriceapi/rows/row[25]/col3"),""))</f>
        <v/>
      </c>
      <c r="D45" s="0" t="str">
        <f>IF($N$2="","",IFERROR(FILTERXML($N$2,"/oilpriceapi/rows/row[25]/col4"),""))</f>
        <v/>
      </c>
      <c r="E45" s="0" t="str">
        <f>IF($N$2="","",IFERROR(FILTERXML($N$2,"/oilpriceapi/rows/row[25]/col5"),""))</f>
        <v/>
      </c>
      <c r="F45" s="0" t="str">
        <f>IF($N$2="","",IFERROR(FILTERXML($N$2,"/oilpriceapi/rows/row[25]/col6"),""))</f>
        <v/>
      </c>
      <c r="G45" s="0" t="str">
        <f>IF($N$2="","",IFERROR(FILTERXML($N$2,"/oilpriceapi/rows/row[25]/col7"),""))</f>
        <v/>
      </c>
      <c r="H45" s="0" t="str">
        <f>IF($N$2="","",IFERROR(FILTERXML($N$2,"/oilpriceapi/rows/row[25]/col8"),""))</f>
        <v/>
      </c>
      <c r="I45" s="0" t="str">
        <f>IF($N$2="","",IFERROR(FILTERXML($N$2,"/oilpriceapi/rows/row[25]/col9"),""))</f>
        <v/>
      </c>
      <c r="J45" s="0" t="str">
        <f>IF($N$2="","",IFERROR(FILTERXML($N$2,"/oilpriceapi/rows/row[25]/col10"),""))</f>
        <v/>
      </c>
      <c r="K45" s="0" t="str">
        <f>IF($N$2="","",IFERROR(FILTERXML($N$2,"/oilpriceapi/rows/row[25]/col11"),""))</f>
        <v/>
      </c>
      <c r="L45" s="0" t="str">
        <f>IF($N$2="","",IFERROR(FILTERXML($N$2,"/oilpriceapi/rows/row[25]/col12"),""))</f>
        <v/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OilPriceAPI starter workbook generator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API Runner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OilPriceAPI Excel Starter Workbook</dc:title>
  <dc:creator>OilPriceAPI</dc:creator>
  <cp:lastModifiedBy>OilPriceAPI</cp:lastModifiedBy>
  <dcterms:created xsi:type="dcterms:W3CDTF">2026-05-11T00:00:00Z</dcterms:created>
  <dcterms:modified xsi:type="dcterms:W3CDTF">2026-05-11T00:00:00Z</dcterms:modified>
</cp:coreProperties>
</file>